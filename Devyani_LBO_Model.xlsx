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Debt Schedule" sheetId="5" state="visible" r:id="rId5"/>
    <sheet xmlns:r="http://schemas.openxmlformats.org/officeDocument/2006/relationships" name="Returns" sheetId="6" state="visible" r:id="rId6"/>
    <sheet xmlns:r="http://schemas.openxmlformats.org/officeDocument/2006/relationships" name="Sensitivity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#,##0;\(#,##0\);\-"/>
    <numFmt numFmtId="165" formatCode="0.0%;\(0.0%\);\-"/>
    <numFmt numFmtId="166" formatCode="0.0\x"/>
    <numFmt numFmtId="167" formatCode="0.00\x"/>
  </numFmts>
  <fonts count="2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28"/>
    </font>
    <font>
      <name val="Arial"/>
      <charset val="1"/>
      <family val="0"/>
      <color rgb="FFF0D080"/>
      <sz val="14"/>
    </font>
    <font>
      <name val="Arial"/>
      <charset val="1"/>
      <family val="0"/>
      <color rgb="FF667085"/>
      <sz val="11"/>
    </font>
    <font>
      <name val="Arial"/>
      <charset val="1"/>
      <family val="0"/>
      <b val="1"/>
      <color rgb="FFC9A84C"/>
      <sz val="9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C9A84C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667085"/>
      <sz val="10"/>
    </font>
    <font>
      <name val="Arial"/>
      <charset val="1"/>
      <family val="0"/>
      <i val="1"/>
      <color rgb="FF667085"/>
      <sz val="9"/>
    </font>
    <font>
      <name val="Arial"/>
      <charset val="1"/>
      <family val="0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667085"/>
      <sz val="8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8000"/>
      <sz val="10"/>
    </font>
    <font>
      <name val="Arial"/>
      <charset val="1"/>
      <family val="0"/>
      <b val="1"/>
      <color rgb="FF166534"/>
      <sz val="14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66534"/>
      <sz val="10"/>
    </font>
    <font>
      <name val="Arial"/>
      <charset val="1"/>
      <family val="0"/>
      <b val="1"/>
      <color rgb="FF92400E"/>
      <sz val="10"/>
    </font>
    <font>
      <name val="Arial"/>
      <charset val="1"/>
      <family val="0"/>
      <b val="1"/>
      <color rgb="FFC0392B"/>
      <sz val="10"/>
    </font>
    <font>
      <name val="Arial"/>
      <charset val="1"/>
      <family val="0"/>
      <b val="1"/>
      <color rgb="FFFFFFFF"/>
      <sz val="11"/>
    </font>
  </fonts>
  <fills count="11">
    <fill>
      <patternFill/>
    </fill>
    <fill>
      <patternFill patternType="gray125"/>
    </fill>
    <fill>
      <patternFill patternType="solid">
        <fgColor rgb="FF0D1B2A"/>
        <bgColor rgb="FF1B2A4A"/>
      </patternFill>
    </fill>
    <fill>
      <patternFill patternType="solid">
        <fgColor rgb="FFC9A84C"/>
        <bgColor rgb="FFFF9900"/>
      </patternFill>
    </fill>
    <fill>
      <patternFill patternType="solid">
        <fgColor rgb="FFF2F4F7"/>
        <bgColor rgb="FFFFFFFF"/>
      </patternFill>
    </fill>
    <fill>
      <patternFill patternType="solid">
        <fgColor rgb="FF1B2A4A"/>
        <bgColor rgb="FF0D1B2A"/>
      </patternFill>
    </fill>
    <fill>
      <patternFill patternType="solid">
        <fgColor rgb="FFD0D5DD"/>
        <bgColor rgb="FFC0C0C0"/>
      </patternFill>
    </fill>
    <fill>
      <patternFill patternType="solid">
        <fgColor rgb="FFFEF3C7"/>
        <bgColor rgb="FFFEE2E2"/>
      </patternFill>
    </fill>
    <fill>
      <patternFill patternType="solid">
        <fgColor rgb="FFDCFCE7"/>
        <bgColor rgb="FFCCFFCC"/>
      </patternFill>
    </fill>
    <fill>
      <patternFill patternType="solid">
        <fgColor rgb="FFFEE2E2"/>
        <bgColor rgb="FFFEF3C7"/>
      </patternFill>
    </fill>
    <fill>
      <patternFill patternType="solid">
        <fgColor rgb="FF166534"/>
        <bgColor rgb="FF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bottom"/>
    </xf>
    <xf numFmtId="0" fontId="8" fillId="2" borderId="0" applyAlignment="1" pivotButton="0" quotePrefix="0" xfId="0">
      <alignment horizontal="center" vertical="bottom"/>
    </xf>
    <xf numFmtId="0" fontId="9" fillId="2" borderId="0" applyAlignment="1" pivotButton="0" quotePrefix="0" xfId="0">
      <alignment horizontal="left" vertical="bottom"/>
    </xf>
    <xf numFmtId="0" fontId="10" fillId="2" borderId="0" applyAlignment="1" pivotButton="0" quotePrefix="0" xfId="0">
      <alignment horizontal="left" vertical="bottom"/>
    </xf>
    <xf numFmtId="0" fontId="11" fillId="2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left" vertical="bottom"/>
    </xf>
    <xf numFmtId="0" fontId="8" fillId="2" borderId="0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left" vertical="center" indent="1"/>
    </xf>
    <xf numFmtId="0" fontId="9" fillId="5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164" fontId="14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general" vertical="bottom"/>
    </xf>
    <xf numFmtId="165" fontId="14" fillId="0" borderId="0" applyAlignment="1" pivotButton="0" quotePrefix="0" xfId="0">
      <alignment horizontal="right" vertical="center"/>
    </xf>
    <xf numFmtId="0" fontId="16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general" vertical="bottom"/>
    </xf>
    <xf numFmtId="165" fontId="14" fillId="4" borderId="0" applyAlignment="1" pivotButton="0" quotePrefix="0" xfId="0">
      <alignment horizontal="right" vertical="center"/>
    </xf>
    <xf numFmtId="0" fontId="14" fillId="4" borderId="0" applyAlignment="1" pivotButton="0" quotePrefix="0" xfId="0">
      <alignment horizontal="right" vertical="center"/>
    </xf>
    <xf numFmtId="166" fontId="14" fillId="0" borderId="0" applyAlignment="1" pivotButton="0" quotePrefix="0" xfId="0">
      <alignment horizontal="right" vertical="center"/>
    </xf>
    <xf numFmtId="164" fontId="13" fillId="4" borderId="0" applyAlignment="1" pivotButton="0" quotePrefix="0" xfId="0">
      <alignment horizontal="right" vertical="center"/>
    </xf>
    <xf numFmtId="164" fontId="13" fillId="0" borderId="0" applyAlignment="1" pivotButton="0" quotePrefix="0" xfId="0">
      <alignment horizontal="right" vertical="center"/>
    </xf>
    <xf numFmtId="166" fontId="14" fillId="4" borderId="0" applyAlignment="1" pivotButton="0" quotePrefix="0" xfId="0">
      <alignment horizontal="right" vertical="center"/>
    </xf>
    <xf numFmtId="0" fontId="16" fillId="5" borderId="0" applyAlignment="1" pivotButton="0" quotePrefix="0" xfId="0">
      <alignment horizontal="general" vertical="bottom"/>
    </xf>
    <xf numFmtId="0" fontId="16" fillId="5" borderId="0" applyAlignment="1" pivotButton="0" quotePrefix="0" xfId="0">
      <alignment horizontal="center" vertical="bottom"/>
    </xf>
    <xf numFmtId="0" fontId="17" fillId="6" borderId="0" applyAlignment="1" pivotButton="0" quotePrefix="0" xfId="0">
      <alignment horizontal="left" vertical="center"/>
    </xf>
    <xf numFmtId="0" fontId="15" fillId="6" borderId="0" applyAlignment="1" pivotButton="0" quotePrefix="0" xfId="0">
      <alignment horizontal="center" vertical="bottom"/>
    </xf>
    <xf numFmtId="164" fontId="18" fillId="6" borderId="0" applyAlignment="1" pivotButton="0" quotePrefix="0" xfId="0">
      <alignment horizontal="general" vertical="bottom"/>
    </xf>
    <xf numFmtId="164" fontId="13" fillId="6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center" vertical="bottom"/>
    </xf>
    <xf numFmtId="165" fontId="13" fillId="0" borderId="0" applyAlignment="1" pivotButton="0" quotePrefix="0" xfId="0">
      <alignment horizontal="right" vertical="center"/>
    </xf>
    <xf numFmtId="164" fontId="17" fillId="6" borderId="0" applyAlignment="1" pivotButton="0" quotePrefix="0" xfId="0">
      <alignment horizontal="right" vertical="center"/>
    </xf>
    <xf numFmtId="0" fontId="0" fillId="6" borderId="0" applyAlignment="1" pivotButton="0" quotePrefix="0" xfId="0">
      <alignment horizontal="general" vertical="bottom"/>
    </xf>
    <xf numFmtId="164" fontId="18" fillId="0" borderId="0" applyAlignment="1" pivotButton="0" quotePrefix="0" xfId="0">
      <alignment horizontal="right" vertical="center"/>
    </xf>
    <xf numFmtId="0" fontId="17" fillId="7" borderId="0" applyAlignment="1" pivotButton="0" quotePrefix="0" xfId="0">
      <alignment horizontal="left" vertical="center"/>
    </xf>
    <xf numFmtId="0" fontId="15" fillId="7" borderId="0" applyAlignment="1" pivotButton="0" quotePrefix="0" xfId="0">
      <alignment horizontal="center" vertical="bottom"/>
    </xf>
    <xf numFmtId="0" fontId="0" fillId="7" borderId="0" applyAlignment="1" pivotButton="0" quotePrefix="0" xfId="0">
      <alignment horizontal="general" vertical="bottom"/>
    </xf>
    <xf numFmtId="164" fontId="17" fillId="7" borderId="0" applyAlignment="1" pivotButton="0" quotePrefix="0" xfId="0">
      <alignment horizontal="right" vertical="center"/>
    </xf>
    <xf numFmtId="164" fontId="0" fillId="6" borderId="0" applyAlignment="1" pivotButton="0" quotePrefix="0" xfId="0">
      <alignment horizontal="general" vertical="bottom"/>
    </xf>
    <xf numFmtId="164" fontId="18" fillId="6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general" vertical="bottom"/>
    </xf>
    <xf numFmtId="0" fontId="17" fillId="8" borderId="0" applyAlignment="1" pivotButton="0" quotePrefix="0" xfId="0">
      <alignment horizontal="left" vertical="center"/>
    </xf>
    <xf numFmtId="0" fontId="15" fillId="8" borderId="0" applyAlignment="1" pivotButton="0" quotePrefix="0" xfId="0">
      <alignment horizontal="center" vertical="bottom"/>
    </xf>
    <xf numFmtId="0" fontId="0" fillId="8" borderId="0" applyAlignment="1" pivotButton="0" quotePrefix="0" xfId="0">
      <alignment horizontal="general" vertical="bottom"/>
    </xf>
    <xf numFmtId="164" fontId="17" fillId="8" borderId="0" applyAlignment="1" pivotButton="0" quotePrefix="0" xfId="0">
      <alignment horizontal="right" vertical="center"/>
    </xf>
    <xf numFmtId="0" fontId="13" fillId="7" borderId="0" applyAlignment="1" pivotButton="0" quotePrefix="0" xfId="0">
      <alignment horizontal="left" vertical="center"/>
    </xf>
    <xf numFmtId="164" fontId="13" fillId="7" borderId="0" applyAlignment="1" pivotButton="0" quotePrefix="0" xfId="0">
      <alignment horizontal="right" vertical="center"/>
    </xf>
    <xf numFmtId="0" fontId="17" fillId="7" borderId="0" applyAlignment="1" pivotButton="0" quotePrefix="0" xfId="0">
      <alignment horizontal="general" vertical="bottom"/>
    </xf>
    <xf numFmtId="166" fontId="18" fillId="0" borderId="0" applyAlignment="1" pivotButton="0" quotePrefix="0" xfId="0">
      <alignment horizontal="right" vertical="center"/>
    </xf>
    <xf numFmtId="164" fontId="14" fillId="7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left" vertical="center"/>
    </xf>
    <xf numFmtId="165" fontId="19" fillId="8" borderId="0" applyAlignment="1" pivotButton="0" quotePrefix="0" xfId="0">
      <alignment horizontal="right" vertical="center"/>
    </xf>
    <xf numFmtId="167" fontId="19" fillId="8" borderId="0" applyAlignment="1" pivotButton="0" quotePrefix="0" xfId="0">
      <alignment horizontal="right" vertical="center"/>
    </xf>
    <xf numFmtId="0" fontId="20" fillId="8" borderId="0" applyAlignment="1" pivotButton="0" quotePrefix="0" xfId="0">
      <alignment horizontal="general" vertical="bottom"/>
    </xf>
    <xf numFmtId="0" fontId="21" fillId="8" borderId="0" applyAlignment="1" pivotButton="0" quotePrefix="0" xfId="0">
      <alignment horizontal="general" vertical="bottom"/>
    </xf>
    <xf numFmtId="0" fontId="20" fillId="7" borderId="0" applyAlignment="1" pivotButton="0" quotePrefix="0" xfId="0">
      <alignment horizontal="general" vertical="bottom"/>
    </xf>
    <xf numFmtId="0" fontId="21" fillId="7" borderId="0" applyAlignment="1" pivotButton="0" quotePrefix="0" xfId="0">
      <alignment horizontal="general" vertical="bottom"/>
    </xf>
    <xf numFmtId="0" fontId="20" fillId="4" borderId="0" applyAlignment="1" pivotButton="0" quotePrefix="0" xfId="0">
      <alignment horizontal="general" vertical="bottom"/>
    </xf>
    <xf numFmtId="0" fontId="21" fillId="4" borderId="0" applyAlignment="1" pivotButton="0" quotePrefix="0" xfId="0">
      <alignment horizontal="general" vertical="bottom"/>
    </xf>
    <xf numFmtId="0" fontId="20" fillId="9" borderId="0" applyAlignment="1" pivotButton="0" quotePrefix="0" xfId="0">
      <alignment horizontal="general" vertical="bottom"/>
    </xf>
    <xf numFmtId="0" fontId="0" fillId="9" borderId="0" applyAlignment="1" pivotButton="0" quotePrefix="0" xfId="0">
      <alignment horizontal="general" vertical="bottom"/>
    </xf>
    <xf numFmtId="0" fontId="21" fillId="9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center" vertical="center"/>
    </xf>
    <xf numFmtId="165" fontId="10" fillId="10" borderId="1" applyAlignment="1" pivotButton="0" quotePrefix="0" xfId="0">
      <alignment horizontal="center" vertical="center"/>
    </xf>
    <xf numFmtId="165" fontId="22" fillId="8" borderId="1" applyAlignment="1" pivotButton="0" quotePrefix="0" xfId="0">
      <alignment horizontal="center" vertical="center"/>
    </xf>
    <xf numFmtId="165" fontId="23" fillId="7" borderId="1" applyAlignment="1" pivotButton="0" quotePrefix="0" xfId="0">
      <alignment horizontal="center" vertical="center"/>
    </xf>
    <xf numFmtId="165" fontId="24" fillId="9" borderId="1" applyAlignment="1" pivotButton="0" quotePrefix="0" xfId="0">
      <alignment horizontal="center" vertical="center"/>
    </xf>
    <xf numFmtId="0" fontId="10" fillId="1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5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bottom"/>
    </xf>
    <xf numFmtId="0" fontId="8" fillId="2" borderId="0" applyAlignment="1" pivotButton="0" quotePrefix="0" xfId="0">
      <alignment horizontal="center" vertical="bottom"/>
    </xf>
    <xf numFmtId="0" fontId="9" fillId="2" borderId="0" applyAlignment="1" pivotButton="0" quotePrefix="0" xfId="0">
      <alignment horizontal="left" vertical="bottom"/>
    </xf>
    <xf numFmtId="0" fontId="10" fillId="2" borderId="0" applyAlignment="1" pivotButton="0" quotePrefix="0" xfId="0">
      <alignment horizontal="left" vertical="bottom"/>
    </xf>
    <xf numFmtId="0" fontId="11" fillId="2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left" vertical="bottom"/>
    </xf>
    <xf numFmtId="0" fontId="8" fillId="2" borderId="0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left" vertical="center" indent="1"/>
    </xf>
    <xf numFmtId="0" fontId="9" fillId="5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164" fontId="14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general" vertical="bottom"/>
    </xf>
    <xf numFmtId="165" fontId="14" fillId="0" borderId="0" applyAlignment="1" pivotButton="0" quotePrefix="0" xfId="0">
      <alignment horizontal="right" vertical="center"/>
    </xf>
    <xf numFmtId="0" fontId="16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general" vertical="bottom"/>
    </xf>
    <xf numFmtId="165" fontId="14" fillId="4" borderId="0" applyAlignment="1" pivotButton="0" quotePrefix="0" xfId="0">
      <alignment horizontal="right" vertical="center"/>
    </xf>
    <xf numFmtId="0" fontId="14" fillId="4" borderId="0" applyAlignment="1" pivotButton="0" quotePrefix="0" xfId="0">
      <alignment horizontal="right" vertical="center"/>
    </xf>
    <xf numFmtId="166" fontId="14" fillId="0" borderId="0" applyAlignment="1" pivotButton="0" quotePrefix="0" xfId="0">
      <alignment horizontal="right" vertical="center"/>
    </xf>
    <xf numFmtId="164" fontId="13" fillId="4" borderId="0" applyAlignment="1" pivotButton="0" quotePrefix="0" xfId="0">
      <alignment horizontal="right" vertical="center"/>
    </xf>
    <xf numFmtId="164" fontId="13" fillId="0" borderId="0" applyAlignment="1" pivotButton="0" quotePrefix="0" xfId="0">
      <alignment horizontal="right" vertical="center"/>
    </xf>
    <xf numFmtId="166" fontId="14" fillId="4" borderId="0" applyAlignment="1" pivotButton="0" quotePrefix="0" xfId="0">
      <alignment horizontal="right" vertical="center"/>
    </xf>
    <xf numFmtId="0" fontId="16" fillId="5" borderId="0" applyAlignment="1" pivotButton="0" quotePrefix="0" xfId="0">
      <alignment horizontal="general" vertical="bottom"/>
    </xf>
    <xf numFmtId="0" fontId="16" fillId="5" borderId="0" applyAlignment="1" pivotButton="0" quotePrefix="0" xfId="0">
      <alignment horizontal="center" vertical="bottom"/>
    </xf>
    <xf numFmtId="0" fontId="17" fillId="6" borderId="0" applyAlignment="1" pivotButton="0" quotePrefix="0" xfId="0">
      <alignment horizontal="left" vertical="center"/>
    </xf>
    <xf numFmtId="0" fontId="15" fillId="6" borderId="0" applyAlignment="1" pivotButton="0" quotePrefix="0" xfId="0">
      <alignment horizontal="center" vertical="bottom"/>
    </xf>
    <xf numFmtId="164" fontId="18" fillId="6" borderId="0" applyAlignment="1" pivotButton="0" quotePrefix="0" xfId="0">
      <alignment horizontal="general" vertical="bottom"/>
    </xf>
    <xf numFmtId="164" fontId="13" fillId="6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center" vertical="bottom"/>
    </xf>
    <xf numFmtId="165" fontId="13" fillId="0" borderId="0" applyAlignment="1" pivotButton="0" quotePrefix="0" xfId="0">
      <alignment horizontal="right" vertical="center"/>
    </xf>
    <xf numFmtId="164" fontId="17" fillId="6" borderId="0" applyAlignment="1" pivotButton="0" quotePrefix="0" xfId="0">
      <alignment horizontal="right" vertical="center"/>
    </xf>
    <xf numFmtId="0" fontId="0" fillId="6" borderId="0" applyAlignment="1" pivotButton="0" quotePrefix="0" xfId="0">
      <alignment horizontal="general" vertical="bottom"/>
    </xf>
    <xf numFmtId="164" fontId="18" fillId="0" borderId="0" applyAlignment="1" pivotButton="0" quotePrefix="0" xfId="0">
      <alignment horizontal="right" vertical="center"/>
    </xf>
    <xf numFmtId="0" fontId="17" fillId="7" borderId="0" applyAlignment="1" pivotButton="0" quotePrefix="0" xfId="0">
      <alignment horizontal="left" vertical="center"/>
    </xf>
    <xf numFmtId="0" fontId="15" fillId="7" borderId="0" applyAlignment="1" pivotButton="0" quotePrefix="0" xfId="0">
      <alignment horizontal="center" vertical="bottom"/>
    </xf>
    <xf numFmtId="0" fontId="0" fillId="7" borderId="0" applyAlignment="1" pivotButton="0" quotePrefix="0" xfId="0">
      <alignment horizontal="general" vertical="bottom"/>
    </xf>
    <xf numFmtId="164" fontId="17" fillId="7" borderId="0" applyAlignment="1" pivotButton="0" quotePrefix="0" xfId="0">
      <alignment horizontal="right" vertical="center"/>
    </xf>
    <xf numFmtId="164" fontId="0" fillId="6" borderId="0" applyAlignment="1" pivotButton="0" quotePrefix="0" xfId="0">
      <alignment horizontal="general" vertical="bottom"/>
    </xf>
    <xf numFmtId="164" fontId="18" fillId="6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general" vertical="bottom"/>
    </xf>
    <xf numFmtId="0" fontId="17" fillId="8" borderId="0" applyAlignment="1" pivotButton="0" quotePrefix="0" xfId="0">
      <alignment horizontal="left" vertical="center"/>
    </xf>
    <xf numFmtId="0" fontId="15" fillId="8" borderId="0" applyAlignment="1" pivotButton="0" quotePrefix="0" xfId="0">
      <alignment horizontal="center" vertical="bottom"/>
    </xf>
    <xf numFmtId="0" fontId="0" fillId="8" borderId="0" applyAlignment="1" pivotButton="0" quotePrefix="0" xfId="0">
      <alignment horizontal="general" vertical="bottom"/>
    </xf>
    <xf numFmtId="164" fontId="17" fillId="8" borderId="0" applyAlignment="1" pivotButton="0" quotePrefix="0" xfId="0">
      <alignment horizontal="right" vertical="center"/>
    </xf>
    <xf numFmtId="0" fontId="13" fillId="7" borderId="0" applyAlignment="1" pivotButton="0" quotePrefix="0" xfId="0">
      <alignment horizontal="left" vertical="center"/>
    </xf>
    <xf numFmtId="164" fontId="13" fillId="7" borderId="0" applyAlignment="1" pivotButton="0" quotePrefix="0" xfId="0">
      <alignment horizontal="right" vertical="center"/>
    </xf>
    <xf numFmtId="0" fontId="17" fillId="7" borderId="0" applyAlignment="1" pivotButton="0" quotePrefix="0" xfId="0">
      <alignment horizontal="general" vertical="bottom"/>
    </xf>
    <xf numFmtId="166" fontId="18" fillId="0" borderId="0" applyAlignment="1" pivotButton="0" quotePrefix="0" xfId="0">
      <alignment horizontal="right" vertical="center"/>
    </xf>
    <xf numFmtId="164" fontId="14" fillId="7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left" vertical="center"/>
    </xf>
    <xf numFmtId="165" fontId="19" fillId="8" borderId="0" applyAlignment="1" pivotButton="0" quotePrefix="0" xfId="0">
      <alignment horizontal="right" vertical="center"/>
    </xf>
    <xf numFmtId="167" fontId="19" fillId="8" borderId="0" applyAlignment="1" pivotButton="0" quotePrefix="0" xfId="0">
      <alignment horizontal="right" vertical="center"/>
    </xf>
    <xf numFmtId="0" fontId="20" fillId="8" borderId="0" applyAlignment="1" pivotButton="0" quotePrefix="0" xfId="0">
      <alignment horizontal="general" vertical="bottom"/>
    </xf>
    <xf numFmtId="0" fontId="21" fillId="8" borderId="0" applyAlignment="1" pivotButton="0" quotePrefix="0" xfId="0">
      <alignment horizontal="general" vertical="bottom"/>
    </xf>
    <xf numFmtId="0" fontId="20" fillId="7" borderId="0" applyAlignment="1" pivotButton="0" quotePrefix="0" xfId="0">
      <alignment horizontal="general" vertical="bottom"/>
    </xf>
    <xf numFmtId="0" fontId="21" fillId="7" borderId="0" applyAlignment="1" pivotButton="0" quotePrefix="0" xfId="0">
      <alignment horizontal="general" vertical="bottom"/>
    </xf>
    <xf numFmtId="0" fontId="20" fillId="4" borderId="0" applyAlignment="1" pivotButton="0" quotePrefix="0" xfId="0">
      <alignment horizontal="general" vertical="bottom"/>
    </xf>
    <xf numFmtId="0" fontId="21" fillId="4" borderId="0" applyAlignment="1" pivotButton="0" quotePrefix="0" xfId="0">
      <alignment horizontal="general" vertical="bottom"/>
    </xf>
    <xf numFmtId="0" fontId="20" fillId="9" borderId="0" applyAlignment="1" pivotButton="0" quotePrefix="0" xfId="0">
      <alignment horizontal="general" vertical="bottom"/>
    </xf>
    <xf numFmtId="0" fontId="0" fillId="9" borderId="0" applyAlignment="1" pivotButton="0" quotePrefix="0" xfId="0">
      <alignment horizontal="general" vertical="bottom"/>
    </xf>
    <xf numFmtId="0" fontId="21" fillId="9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center" vertical="center"/>
    </xf>
    <xf numFmtId="165" fontId="10" fillId="10" borderId="1" applyAlignment="1" pivotButton="0" quotePrefix="0" xfId="0">
      <alignment horizontal="center" vertical="center"/>
    </xf>
    <xf numFmtId="165" fontId="22" fillId="8" borderId="1" applyAlignment="1" pivotButton="0" quotePrefix="0" xfId="0">
      <alignment horizontal="center" vertical="center"/>
    </xf>
    <xf numFmtId="165" fontId="23" fillId="7" borderId="1" applyAlignment="1" pivotButton="0" quotePrefix="0" xfId="0">
      <alignment horizontal="center" vertical="center"/>
    </xf>
    <xf numFmtId="165" fontId="24" fillId="9" borderId="1" applyAlignment="1" pivotButton="0" quotePrefix="0" xfId="0">
      <alignment horizontal="center" vertical="center"/>
    </xf>
    <xf numFmtId="0" fontId="10" fillId="1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5" fillId="2" borderId="0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66534"/>
      <rgbColor rgb="FFC0C0C0"/>
      <rgbColor rgb="FF808080"/>
      <rgbColor rgb="FF9999FF"/>
      <rgbColor rgb="FFC0392B"/>
      <rgbColor rgb="FFFEF3C7"/>
      <rgbColor rgb="FFDCFCE7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7"/>
      <rgbColor rgb="FFCCFFCC"/>
      <rgbColor rgb="FFFEE2E2"/>
      <rgbColor rgb="FF99CCFF"/>
      <rgbColor rgb="FFFF99CC"/>
      <rgbColor rgb="FFCC99FF"/>
      <rgbColor rgb="FFF0D080"/>
      <rgbColor rgb="FF3366FF"/>
      <rgbColor rgb="FF33CCCC"/>
      <rgbColor rgb="FF99CC00"/>
      <rgbColor rgb="FFFFCC00"/>
      <rgbColor rgb="FFFF9900"/>
      <rgbColor rgb="FFFF6600"/>
      <rgbColor rgb="FF667085"/>
      <rgbColor rgb="FFC9A84C"/>
      <rgbColor rgb="FF003366"/>
      <rgbColor rgb="FF339966"/>
      <rgbColor rgb="FF0D1B2A"/>
      <rgbColor rgb="FF333300"/>
      <rgbColor rgb="FF92400E"/>
      <rgbColor rgb="FF993366"/>
      <rgbColor rgb="FF333399"/>
      <rgbColor rgb="FF1B2A4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4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79" min="1" max="1"/>
    <col width="11" customWidth="1" style="79" min="2" max="13"/>
  </cols>
  <sheetData>
    <row r="1" ht="15" customHeight="1" s="80">
      <c r="A1" s="81" t="n"/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</row>
    <row r="2" ht="15" customHeight="1" s="80">
      <c r="A2" s="81" t="n"/>
      <c r="B2" s="81" t="n"/>
      <c r="C2" s="81" t="n"/>
      <c r="D2" s="81" t="n"/>
      <c r="E2" s="81" t="n"/>
      <c r="F2" s="81" t="n"/>
      <c r="G2" s="81" t="n"/>
      <c r="H2" s="81" t="n"/>
      <c r="I2" s="81" t="n"/>
      <c r="J2" s="81" t="n"/>
      <c r="K2" s="81" t="n"/>
      <c r="L2" s="81" t="n"/>
      <c r="M2" s="81" t="n"/>
    </row>
    <row r="3" ht="15" customHeight="1" s="80">
      <c r="A3" s="81" t="n"/>
      <c r="B3" s="81" t="n"/>
      <c r="C3" s="81" t="n"/>
      <c r="D3" s="81" t="n"/>
      <c r="E3" s="81" t="n"/>
      <c r="F3" s="81" t="n"/>
      <c r="G3" s="81" t="n"/>
      <c r="H3" s="81" t="n"/>
      <c r="I3" s="81" t="n"/>
      <c r="J3" s="81" t="n"/>
      <c r="K3" s="81" t="n"/>
      <c r="L3" s="81" t="n"/>
      <c r="M3" s="81" t="n"/>
    </row>
    <row r="4" ht="15" customHeight="1" s="80">
      <c r="A4" s="81" t="n"/>
      <c r="B4" s="81" t="n"/>
      <c r="C4" s="81" t="n"/>
      <c r="D4" s="81" t="n"/>
      <c r="E4" s="81" t="n"/>
      <c r="F4" s="81" t="n"/>
      <c r="G4" s="81" t="n"/>
      <c r="H4" s="81" t="n"/>
      <c r="I4" s="81" t="n"/>
      <c r="J4" s="81" t="n"/>
      <c r="K4" s="81" t="n"/>
      <c r="L4" s="81" t="n"/>
      <c r="M4" s="81" t="n"/>
    </row>
    <row r="5" ht="15" customHeight="1" s="80">
      <c r="A5" s="81" t="n"/>
      <c r="B5" s="81" t="n"/>
      <c r="C5" s="81" t="n"/>
      <c r="D5" s="81" t="n"/>
      <c r="E5" s="81" t="n"/>
      <c r="F5" s="81" t="n"/>
      <c r="G5" s="81" t="n"/>
      <c r="H5" s="81" t="n"/>
      <c r="I5" s="81" t="n"/>
      <c r="J5" s="81" t="n"/>
      <c r="K5" s="81" t="n"/>
      <c r="L5" s="81" t="n"/>
      <c r="M5" s="81" t="n"/>
    </row>
    <row r="6" ht="15" customHeight="1" s="80">
      <c r="A6" s="81" t="n"/>
      <c r="B6" s="81" t="n"/>
      <c r="C6" s="81" t="n"/>
      <c r="D6" s="81" t="n"/>
      <c r="E6" s="81" t="n"/>
      <c r="F6" s="81" t="n"/>
      <c r="G6" s="81" t="n"/>
      <c r="H6" s="81" t="n"/>
      <c r="I6" s="81" t="n"/>
      <c r="J6" s="81" t="n"/>
      <c r="K6" s="81" t="n"/>
      <c r="L6" s="81" t="n"/>
      <c r="M6" s="81" t="n"/>
    </row>
    <row r="7" ht="15" customHeight="1" s="80">
      <c r="A7" s="81" t="n"/>
      <c r="B7" s="81" t="n"/>
      <c r="C7" s="81" t="n"/>
      <c r="D7" s="81" t="n"/>
      <c r="E7" s="81" t="n"/>
      <c r="F7" s="81" t="n"/>
      <c r="G7" s="81" t="n"/>
      <c r="H7" s="81" t="n"/>
      <c r="I7" s="81" t="n"/>
      <c r="J7" s="81" t="n"/>
      <c r="K7" s="81" t="n"/>
      <c r="L7" s="81" t="n"/>
      <c r="M7" s="81" t="n"/>
    </row>
    <row r="8" ht="15" customHeight="1" s="80">
      <c r="A8" s="82" t="n"/>
      <c r="B8" s="82" t="n"/>
      <c r="C8" s="82" t="n"/>
      <c r="D8" s="82" t="n"/>
      <c r="E8" s="82" t="n"/>
      <c r="F8" s="82" t="n"/>
      <c r="G8" s="82" t="n"/>
      <c r="H8" s="82" t="n"/>
      <c r="I8" s="82" t="n"/>
      <c r="J8" s="82" t="n"/>
      <c r="K8" s="82" t="n"/>
      <c r="L8" s="82" t="n"/>
      <c r="M8" s="82" t="n"/>
    </row>
    <row r="9" ht="15" customHeight="1" s="80">
      <c r="A9" s="82" t="n"/>
      <c r="B9" s="82" t="n"/>
      <c r="C9" s="82" t="n"/>
      <c r="D9" s="82" t="n"/>
      <c r="E9" s="82" t="n"/>
      <c r="F9" s="82" t="n"/>
      <c r="G9" s="82" t="n"/>
      <c r="H9" s="82" t="n"/>
      <c r="I9" s="82" t="n"/>
      <c r="J9" s="82" t="n"/>
      <c r="K9" s="82" t="n"/>
      <c r="L9" s="82" t="n"/>
      <c r="M9" s="82" t="n"/>
    </row>
    <row r="10" ht="15" customHeight="1" s="80">
      <c r="A10" s="81" t="n"/>
      <c r="B10" s="81" t="n"/>
      <c r="C10" s="81" t="n"/>
      <c r="D10" s="81" t="n"/>
      <c r="E10" s="81" t="n"/>
      <c r="F10" s="81" t="n"/>
      <c r="G10" s="81" t="n"/>
      <c r="H10" s="81" t="n"/>
      <c r="I10" s="81" t="n"/>
      <c r="J10" s="81" t="n"/>
      <c r="K10" s="81" t="n"/>
      <c r="L10" s="81" t="n"/>
      <c r="M10" s="81" t="n"/>
    </row>
    <row r="11" ht="39.75" customHeight="1" s="80">
      <c r="A11" s="81" t="n"/>
      <c r="B11" s="83" t="inlineStr">
        <is>
          <t>Devyani International — LBO Analysis</t>
        </is>
      </c>
    </row>
    <row r="12" ht="15" customHeight="1" s="80">
      <c r="A12" s="81" t="n"/>
    </row>
    <row r="13" ht="15" customHeight="1" s="80">
      <c r="A13" s="81" t="n"/>
    </row>
    <row r="14" ht="15" customHeight="1" s="80">
      <c r="A14" s="81" t="n"/>
    </row>
    <row r="15" ht="15" customHeight="1" s="80">
      <c r="A15" s="81" t="n"/>
      <c r="B15" s="84" t="inlineStr">
        <is>
          <t>Built by Purv D  |  BMS Finance, St. Andrew's College</t>
        </is>
      </c>
    </row>
    <row r="16" ht="15" customHeight="1" s="80">
      <c r="A16" s="81" t="n"/>
    </row>
    <row r="17" ht="15" customHeight="1" s="80">
      <c r="A17" s="81" t="n"/>
      <c r="B17" s="85" t="inlineStr">
        <is>
          <t>FY2024 base  |  5-year hold  |  Exit FY2029</t>
        </is>
      </c>
    </row>
    <row r="18" ht="15" customHeight="1" s="80">
      <c r="A18" s="81" t="n"/>
    </row>
    <row r="19" ht="15" customHeight="1" s="80">
      <c r="A19" s="81" t="n"/>
      <c r="B19" s="81" t="n"/>
      <c r="C19" s="81" t="n"/>
      <c r="D19" s="81" t="n"/>
      <c r="E19" s="81" t="n"/>
      <c r="F19" s="81" t="n"/>
      <c r="G19" s="81" t="n"/>
      <c r="H19" s="81" t="n"/>
      <c r="I19" s="81" t="n"/>
      <c r="J19" s="81" t="n"/>
      <c r="K19" s="81" t="n"/>
      <c r="L19" s="81" t="n"/>
      <c r="M19" s="81" t="n"/>
    </row>
    <row r="20" ht="15" customHeight="1" s="80">
      <c r="A20" s="81" t="n"/>
      <c r="B20" s="82" t="n"/>
      <c r="C20" s="82" t="n"/>
      <c r="D20" s="82" t="n"/>
      <c r="E20" s="82" t="n"/>
      <c r="F20" s="82" t="n"/>
      <c r="G20" s="82" t="n"/>
      <c r="H20" s="82" t="n"/>
      <c r="I20" s="82" t="n"/>
      <c r="J20" s="82" t="n"/>
      <c r="K20" s="82" t="n"/>
      <c r="L20" s="82" t="n"/>
      <c r="M20" s="82" t="n"/>
    </row>
    <row r="21" ht="15" customHeight="1" s="80">
      <c r="A21" s="81" t="n"/>
      <c r="B21" s="81" t="n"/>
      <c r="C21" s="81" t="n"/>
      <c r="D21" s="81" t="n"/>
      <c r="E21" s="81" t="n"/>
      <c r="F21" s="81" t="n"/>
      <c r="G21" s="81" t="n"/>
      <c r="H21" s="81" t="n"/>
      <c r="I21" s="81" t="n"/>
      <c r="J21" s="81" t="n"/>
      <c r="K21" s="81" t="n"/>
      <c r="L21" s="81" t="n"/>
      <c r="M21" s="81" t="n"/>
    </row>
    <row r="22" ht="15" customHeight="1" s="80">
      <c r="A22" s="81" t="n"/>
      <c r="B22" s="86" t="inlineStr">
        <is>
          <t>Entry EV</t>
        </is>
      </c>
      <c r="D22" s="86" t="inlineStr">
        <is>
          <t>Equity Check</t>
        </is>
      </c>
      <c r="F22" s="86" t="inlineStr">
        <is>
          <t>Leverage</t>
        </is>
      </c>
      <c r="H22" s="86" t="inlineStr">
        <is>
          <t>Target IRR</t>
        </is>
      </c>
      <c r="J22" s="86" t="inlineStr">
        <is>
          <t>Hold Period</t>
        </is>
      </c>
      <c r="L22" s="81" t="n"/>
      <c r="M22" s="81" t="n"/>
    </row>
    <row r="23" ht="15" customHeight="1" s="80">
      <c r="A23" s="81" t="n"/>
      <c r="B23" s="87" t="inlineStr">
        <is>
          <t>₹ 8,400 Cr</t>
        </is>
      </c>
      <c r="D23" s="87" t="inlineStr">
        <is>
          <t>₹ 3,360 Cr</t>
        </is>
      </c>
      <c r="F23" s="87" t="inlineStr">
        <is>
          <t>4.0x Debt/EBITDA</t>
        </is>
      </c>
      <c r="H23" s="87" t="inlineStr">
        <is>
          <t>&gt; 20%</t>
        </is>
      </c>
      <c r="J23" s="87" t="inlineStr">
        <is>
          <t>5 Years</t>
        </is>
      </c>
      <c r="L23" s="81" t="n"/>
      <c r="M23" s="81" t="n"/>
    </row>
    <row r="24" ht="15" customHeight="1" s="80">
      <c r="A24" s="81" t="n"/>
      <c r="B24" s="81" t="n"/>
      <c r="C24" s="81" t="n"/>
      <c r="D24" s="81" t="n"/>
      <c r="E24" s="81" t="n"/>
      <c r="F24" s="81" t="n"/>
      <c r="G24" s="81" t="n"/>
      <c r="H24" s="81" t="n"/>
      <c r="I24" s="81" t="n"/>
      <c r="J24" s="81" t="n"/>
      <c r="K24" s="81" t="n"/>
      <c r="L24" s="81" t="n"/>
      <c r="M24" s="81" t="n"/>
    </row>
    <row r="25" ht="15" customHeight="1" s="80">
      <c r="A25" s="81" t="n"/>
      <c r="B25" s="81" t="n"/>
      <c r="C25" s="81" t="n"/>
      <c r="D25" s="81" t="n"/>
      <c r="E25" s="81" t="n"/>
      <c r="F25" s="81" t="n"/>
      <c r="G25" s="81" t="n"/>
      <c r="H25" s="81" t="n"/>
      <c r="I25" s="81" t="n"/>
      <c r="J25" s="81" t="n"/>
      <c r="K25" s="81" t="n"/>
      <c r="L25" s="81" t="n"/>
      <c r="M25" s="81" t="n"/>
    </row>
    <row r="26" ht="15" customHeight="1" s="80">
      <c r="A26" s="81" t="n"/>
      <c r="B26" s="88" t="inlineStr">
        <is>
          <t>WHAT'S IN THIS MODEL</t>
        </is>
      </c>
    </row>
    <row r="27" ht="15" customHeight="1" s="80">
      <c r="A27" s="81" t="n"/>
      <c r="B27" s="81" t="n"/>
      <c r="C27" s="81" t="n"/>
      <c r="D27" s="81" t="n"/>
      <c r="E27" s="81" t="n"/>
      <c r="F27" s="81" t="n"/>
      <c r="G27" s="81" t="n"/>
      <c r="H27" s="81" t="n"/>
      <c r="I27" s="81" t="n"/>
      <c r="J27" s="81" t="n"/>
      <c r="K27" s="81" t="n"/>
      <c r="L27" s="81" t="n"/>
      <c r="M27" s="81" t="n"/>
    </row>
    <row r="28" ht="15" customHeight="1" s="80">
      <c r="A28" s="81" t="n"/>
      <c r="B28" s="89" t="inlineStr">
        <is>
          <t>1. Assumptions</t>
        </is>
      </c>
      <c r="C28" s="81" t="n"/>
      <c r="D28" s="81" t="n"/>
      <c r="E28" s="90" t="inlineStr">
        <is>
          <t>All the inputs — revenue assumptions, debt structure, entry and exit multiples</t>
        </is>
      </c>
      <c r="F28" s="81" t="n"/>
      <c r="G28" s="81" t="n"/>
      <c r="H28" s="81" t="n"/>
      <c r="I28" s="81" t="n"/>
      <c r="J28" s="81" t="n"/>
      <c r="K28" s="81" t="n"/>
      <c r="L28" s="81" t="n"/>
      <c r="M28" s="81" t="n"/>
    </row>
    <row r="29" ht="15" customHeight="1" s="80">
      <c r="A29" s="81" t="n"/>
      <c r="B29" s="89" t="inlineStr">
        <is>
          <t>2. Income Statement</t>
        </is>
      </c>
      <c r="C29" s="81" t="n"/>
      <c r="D29" s="81" t="n"/>
      <c r="E29" s="90" t="inlineStr">
        <is>
          <t>Revenue down to net income, year by year</t>
        </is>
      </c>
      <c r="F29" s="81" t="n"/>
      <c r="G29" s="81" t="n"/>
      <c r="H29" s="81" t="n"/>
      <c r="I29" s="81" t="n"/>
      <c r="J29" s="81" t="n"/>
      <c r="K29" s="81" t="n"/>
      <c r="L29" s="81" t="n"/>
      <c r="M29" s="81" t="n"/>
    </row>
    <row r="30" ht="15" customHeight="1" s="80">
      <c r="A30" s="81" t="n"/>
      <c r="B30" s="89" t="inlineStr">
        <is>
          <t>3. Cash Flow</t>
        </is>
      </c>
      <c r="C30" s="81" t="n"/>
      <c r="D30" s="81" t="n"/>
      <c r="E30" s="90" t="inlineStr">
        <is>
          <t>Free cash flow build showing what the business actually generates after reinvestment</t>
        </is>
      </c>
      <c r="F30" s="81" t="n"/>
      <c r="G30" s="81" t="n"/>
      <c r="H30" s="81" t="n"/>
      <c r="I30" s="81" t="n"/>
      <c r="J30" s="81" t="n"/>
      <c r="K30" s="81" t="n"/>
      <c r="L30" s="81" t="n"/>
      <c r="M30" s="81" t="n"/>
    </row>
    <row r="31" ht="15" customHeight="1" s="80">
      <c r="A31" s="81" t="n"/>
      <c r="B31" s="89" t="inlineStr">
        <is>
          <t>4. Debt Schedule</t>
        </is>
      </c>
      <c r="C31" s="81" t="n"/>
      <c r="D31" s="81" t="n"/>
      <c r="E31" s="90" t="inlineStr">
        <is>
          <t>How the debt gets paid down each year, including the cash sweep</t>
        </is>
      </c>
      <c r="F31" s="81" t="n"/>
      <c r="G31" s="81" t="n"/>
      <c r="H31" s="81" t="n"/>
      <c r="I31" s="81" t="n"/>
      <c r="J31" s="81" t="n"/>
      <c r="K31" s="81" t="n"/>
      <c r="L31" s="81" t="n"/>
      <c r="M31" s="81" t="n"/>
    </row>
    <row r="32" ht="15" customHeight="1" s="80">
      <c r="A32" s="81" t="n"/>
      <c r="B32" s="89" t="inlineStr">
        <is>
          <t>5. Returns</t>
        </is>
      </c>
      <c r="C32" s="81" t="n"/>
      <c r="D32" s="81" t="n"/>
      <c r="E32" s="90" t="inlineStr">
        <is>
          <t>IRR, MOIC, and how the equity value was calculated</t>
        </is>
      </c>
      <c r="F32" s="81" t="n"/>
      <c r="G32" s="81" t="n"/>
      <c r="H32" s="81" t="n"/>
      <c r="I32" s="81" t="n"/>
      <c r="J32" s="81" t="n"/>
      <c r="K32" s="81" t="n"/>
      <c r="L32" s="81" t="n"/>
      <c r="M32" s="81" t="n"/>
    </row>
    <row r="33" ht="15" customHeight="1" s="80">
      <c r="A33" s="81" t="n"/>
      <c r="B33" s="89" t="inlineStr">
        <is>
          <t>6. Sensitivity</t>
        </is>
      </c>
      <c r="C33" s="81" t="n"/>
      <c r="D33" s="81" t="n"/>
      <c r="E33" s="90" t="inlineStr">
        <is>
          <t>What the IRR looks like if you change the entry multiple, exit multiple, margins, or growth</t>
        </is>
      </c>
      <c r="F33" s="81" t="n"/>
      <c r="G33" s="81" t="n"/>
      <c r="H33" s="81" t="n"/>
      <c r="I33" s="81" t="n"/>
      <c r="J33" s="81" t="n"/>
      <c r="K33" s="81" t="n"/>
      <c r="L33" s="81" t="n"/>
      <c r="M33" s="81" t="n"/>
    </row>
    <row r="34" ht="15" customHeight="1" s="80">
      <c r="A34" s="81" t="n"/>
      <c r="B34" s="81" t="n"/>
      <c r="C34" s="81" t="n"/>
      <c r="D34" s="81" t="n"/>
      <c r="E34" s="81" t="n"/>
      <c r="F34" s="81" t="n"/>
      <c r="G34" s="81" t="n"/>
      <c r="H34" s="81" t="n"/>
      <c r="I34" s="81" t="n"/>
      <c r="J34" s="81" t="n"/>
      <c r="K34" s="81" t="n"/>
      <c r="L34" s="81" t="n"/>
      <c r="M34" s="81" t="n"/>
    </row>
    <row r="35" ht="15" customHeight="1" s="80">
      <c r="A35" s="81" t="n"/>
      <c r="B35" s="81" t="n"/>
      <c r="C35" s="81" t="n"/>
      <c r="D35" s="81" t="n"/>
      <c r="E35" s="81" t="n"/>
      <c r="F35" s="81" t="n"/>
      <c r="G35" s="81" t="n"/>
      <c r="H35" s="81" t="n"/>
      <c r="I35" s="81" t="n"/>
      <c r="J35" s="81" t="n"/>
      <c r="K35" s="81" t="n"/>
      <c r="L35" s="81" t="n"/>
      <c r="M35" s="81" t="n"/>
    </row>
    <row r="36" ht="15" customHeight="1" s="80">
      <c r="A36" s="81" t="n"/>
      <c r="B36" s="81" t="n"/>
      <c r="C36" s="81" t="n"/>
      <c r="D36" s="81" t="n"/>
      <c r="E36" s="81" t="n"/>
      <c r="F36" s="81" t="n"/>
      <c r="G36" s="81" t="n"/>
      <c r="H36" s="81" t="n"/>
      <c r="I36" s="81" t="n"/>
      <c r="J36" s="81" t="n"/>
      <c r="K36" s="81" t="n"/>
      <c r="L36" s="81" t="n"/>
      <c r="M36" s="81" t="n"/>
    </row>
    <row r="37" ht="15" customHeight="1" s="80">
      <c r="A37" s="81" t="n"/>
      <c r="B37" s="81" t="n"/>
      <c r="C37" s="81" t="n"/>
      <c r="D37" s="81" t="n"/>
      <c r="E37" s="81" t="n"/>
      <c r="F37" s="81" t="n"/>
      <c r="G37" s="81" t="n"/>
      <c r="H37" s="81" t="n"/>
      <c r="I37" s="81" t="n"/>
      <c r="J37" s="81" t="n"/>
      <c r="K37" s="81" t="n"/>
      <c r="L37" s="81" t="n"/>
      <c r="M37" s="81" t="n"/>
    </row>
    <row r="38" ht="15" customHeight="1" s="80">
      <c r="A38" s="81" t="n"/>
      <c r="B38" s="81" t="n"/>
      <c r="C38" s="81" t="n"/>
      <c r="D38" s="81" t="n"/>
      <c r="E38" s="81" t="n"/>
      <c r="F38" s="81" t="n"/>
      <c r="G38" s="81" t="n"/>
      <c r="H38" s="81" t="n"/>
      <c r="I38" s="81" t="n"/>
      <c r="J38" s="81" t="n"/>
      <c r="K38" s="81" t="n"/>
      <c r="L38" s="81" t="n"/>
      <c r="M38" s="81" t="n"/>
    </row>
    <row r="39" ht="15" customHeight="1" s="80">
      <c r="A39" s="81" t="n"/>
      <c r="B39" s="81" t="n"/>
      <c r="C39" s="81" t="n"/>
      <c r="D39" s="81" t="n"/>
      <c r="E39" s="81" t="n"/>
      <c r="F39" s="81" t="n"/>
      <c r="G39" s="81" t="n"/>
      <c r="H39" s="81" t="n"/>
      <c r="I39" s="81" t="n"/>
      <c r="J39" s="81" t="n"/>
      <c r="K39" s="81" t="n"/>
      <c r="L39" s="81" t="n"/>
      <c r="M39" s="81" t="n"/>
    </row>
    <row r="40" ht="15" customHeight="1" s="80">
      <c r="A40" s="81" t="n"/>
      <c r="B40" s="81" t="n"/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1" t="n"/>
      <c r="M40" s="81" t="n"/>
    </row>
    <row r="41" ht="15" customHeight="1" s="80">
      <c r="A41" s="81" t="n"/>
      <c r="B41" s="91" t="inlineStr">
        <is>
          <t>Purv D  |  purvdodia@gmail.com  |  BMS Finance, St. Andrew's College Mumbai</t>
        </is>
      </c>
    </row>
    <row r="42" ht="15" customHeight="1" s="80">
      <c r="A42" s="81" t="n"/>
    </row>
    <row r="43" ht="15" customHeight="1" s="80">
      <c r="A43" s="81" t="n"/>
      <c r="B43" s="81" t="n"/>
      <c r="C43" s="81" t="n"/>
      <c r="D43" s="81" t="n"/>
      <c r="E43" s="81" t="n"/>
      <c r="F43" s="81" t="n"/>
      <c r="G43" s="81" t="n"/>
      <c r="H43" s="81" t="n"/>
      <c r="I43" s="81" t="n"/>
      <c r="J43" s="81" t="n"/>
      <c r="K43" s="81" t="n"/>
      <c r="L43" s="81" t="n"/>
      <c r="M43" s="81" t="n"/>
    </row>
    <row r="44" ht="15" customHeight="1" s="80">
      <c r="A44" s="81" t="n"/>
      <c r="B44" s="81" t="n"/>
      <c r="C44" s="81" t="n"/>
      <c r="D44" s="81" t="n"/>
      <c r="E44" s="81" t="n"/>
      <c r="F44" s="81" t="n"/>
      <c r="G44" s="81" t="n"/>
      <c r="H44" s="81" t="n"/>
      <c r="I44" s="81" t="n"/>
      <c r="J44" s="81" t="n"/>
      <c r="K44" s="81" t="n"/>
      <c r="L44" s="81" t="n"/>
      <c r="M44" s="81" t="n"/>
    </row>
  </sheetData>
  <mergeCells count="15">
    <mergeCell ref="B17:M18"/>
    <mergeCell ref="B41:M42"/>
    <mergeCell ref="B15:M16"/>
    <mergeCell ref="B11:M14"/>
    <mergeCell ref="B23:C23"/>
    <mergeCell ref="D23:E23"/>
    <mergeCell ref="B22:C22"/>
    <mergeCell ref="F23:G23"/>
    <mergeCell ref="F22:G22"/>
    <mergeCell ref="D22:E22"/>
    <mergeCell ref="H23:I23"/>
    <mergeCell ref="J23:K23"/>
    <mergeCell ref="H22:I22"/>
    <mergeCell ref="B26:M26"/>
    <mergeCell ref="J22:K2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1:J4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79" min="1" max="1"/>
    <col width="36" customWidth="1" style="79" min="2" max="2"/>
    <col width="18" customWidth="1" style="79" min="3" max="4"/>
    <col width="22" customWidth="1" style="79" min="5" max="5"/>
    <col width="14" customWidth="1" style="79" min="6" max="10"/>
  </cols>
  <sheetData>
    <row r="1" ht="30" customHeight="1" s="80">
      <c r="B1" s="92" t="inlineStr">
        <is>
          <t>Assumptions — Devyani International LBO</t>
        </is>
      </c>
    </row>
    <row r="2" ht="15" customHeight="1" s="80">
      <c r="B2" s="93" t="inlineStr">
        <is>
          <t>Blue cells are inputs you can change. Black cells are formulas. Green cells pull from another sheet.</t>
        </is>
      </c>
    </row>
    <row r="4" ht="19.5" customHeight="1" s="80">
      <c r="B4" s="94" t="inlineStr">
        <is>
          <t>Company Background</t>
        </is>
      </c>
    </row>
    <row r="5" ht="18" customHeight="1" s="80">
      <c r="B5" s="95" t="inlineStr">
        <is>
          <t>Stock / Exchange</t>
        </is>
      </c>
      <c r="C5" s="96" t="inlineStr">
        <is>
          <t>DEVYANI / NSE</t>
        </is>
      </c>
    </row>
    <row r="6" ht="18" customHeight="1" s="80">
      <c r="B6" s="95" t="inlineStr">
        <is>
          <t>What the business does</t>
        </is>
      </c>
      <c r="C6" s="96" t="inlineStr">
        <is>
          <t>Runs KFC, Pizza Hut and Costa Coffee stores across India</t>
        </is>
      </c>
    </row>
    <row r="7" ht="18" customHeight="1" s="80">
      <c r="B7" s="95" t="inlineStr">
        <is>
          <t>Year these actuals are from</t>
        </is>
      </c>
      <c r="C7" s="96" t="inlineStr">
        <is>
          <t>FY2024</t>
        </is>
      </c>
    </row>
    <row r="8" ht="18" customHeight="1" s="80">
      <c r="B8" s="95" t="inlineStr">
        <is>
          <t>Revenue (₹ Cr)</t>
        </is>
      </c>
      <c r="C8" s="97" t="n">
        <v>4150</v>
      </c>
      <c r="E8" s="98" t="inlineStr">
        <is>
          <t>From the FY2024 annual report</t>
        </is>
      </c>
    </row>
    <row r="9" ht="18" customHeight="1" s="80">
      <c r="B9" s="95" t="inlineStr">
        <is>
          <t>EBITDA (₹ Cr)</t>
        </is>
      </c>
      <c r="C9" s="97" t="n">
        <v>840</v>
      </c>
      <c r="E9" s="98" t="inlineStr">
        <is>
          <t>From the FY2024 annual report</t>
        </is>
      </c>
    </row>
    <row r="10" ht="18" customHeight="1" s="80">
      <c r="B10" s="95" t="inlineStr">
        <is>
          <t>EBITDA Margin</t>
        </is>
      </c>
      <c r="C10" s="99" t="n">
        <v>0.2024</v>
      </c>
      <c r="E10" s="98" t="inlineStr">
        <is>
          <t>EBITDA divided by revenue</t>
        </is>
      </c>
    </row>
    <row r="11" ht="18" customHeight="1" s="80">
      <c r="B11" s="95" t="inlineStr">
        <is>
          <t>Net Debt (₹ Cr)</t>
        </is>
      </c>
      <c r="C11" s="97" t="n">
        <v>1200</v>
      </c>
      <c r="E11" s="98" t="inlineStr">
        <is>
          <t>From the FY2024 annual report</t>
        </is>
      </c>
    </row>
    <row r="13" ht="19.5" customHeight="1" s="80">
      <c r="B13" s="94" t="inlineStr">
        <is>
          <t>Operating Assumptions — FY2025 to FY2029</t>
        </is>
      </c>
    </row>
    <row r="14" ht="19.5" customHeight="1" s="80">
      <c r="B14" s="100" t="inlineStr">
        <is>
          <t>Assumption</t>
        </is>
      </c>
      <c r="F14" s="101" t="inlineStr">
        <is>
          <t>FY2025E</t>
        </is>
      </c>
      <c r="G14" s="101" t="inlineStr">
        <is>
          <t>FY2026E</t>
        </is>
      </c>
      <c r="H14" s="101" t="inlineStr">
        <is>
          <t>FY2027E</t>
        </is>
      </c>
      <c r="I14" s="101" t="inlineStr">
        <is>
          <t>FY2028E</t>
        </is>
      </c>
      <c r="J14" s="101" t="inlineStr">
        <is>
          <t>FY2029E</t>
        </is>
      </c>
    </row>
    <row r="15" ht="18" customHeight="1" s="80">
      <c r="B15" s="102" t="inlineStr">
        <is>
          <t>How fast revenue grows each year</t>
        </is>
      </c>
      <c r="C15" s="103" t="n"/>
      <c r="D15" s="103" t="n"/>
      <c r="E15" s="103" t="n"/>
      <c r="F15" s="104" t="n">
        <v>0.09</v>
      </c>
      <c r="G15" s="104" t="n">
        <v>0.11</v>
      </c>
      <c r="H15" s="104" t="n">
        <v>0.11</v>
      </c>
      <c r="I15" s="104" t="n">
        <v>0.1</v>
      </c>
      <c r="J15" s="104" t="n">
        <v>0.09</v>
      </c>
    </row>
    <row r="16" ht="18" customHeight="1" s="80">
      <c r="B16" s="95" t="inlineStr">
        <is>
          <t>EBITDA as a share of revenue</t>
        </is>
      </c>
      <c r="F16" s="99" t="n">
        <v>0.215</v>
      </c>
      <c r="G16" s="99" t="n">
        <v>0.225</v>
      </c>
      <c r="H16" s="99" t="n">
        <v>0.235</v>
      </c>
      <c r="I16" s="99" t="n">
        <v>0.24</v>
      </c>
      <c r="J16" s="99" t="n">
        <v>0.25</v>
      </c>
    </row>
    <row r="17" ht="18" customHeight="1" s="80">
      <c r="B17" s="102" t="inlineStr">
        <is>
          <t>Depreciation as a share of revenue</t>
        </is>
      </c>
      <c r="C17" s="103" t="n"/>
      <c r="D17" s="103" t="n"/>
      <c r="E17" s="103" t="n"/>
      <c r="F17" s="104" t="n">
        <v>0.042</v>
      </c>
      <c r="G17" s="104" t="n">
        <v>0.041</v>
      </c>
      <c r="H17" s="104" t="n">
        <v>0.04</v>
      </c>
      <c r="I17" s="104" t="n">
        <v>0.04</v>
      </c>
      <c r="J17" s="104" t="n">
        <v>0.039</v>
      </c>
    </row>
    <row r="18" ht="18" customHeight="1" s="80">
      <c r="B18" s="95" t="inlineStr">
        <is>
          <t>Capital expenditure as a share of revenue</t>
        </is>
      </c>
      <c r="F18" s="99" t="n">
        <v>0.055</v>
      </c>
      <c r="G18" s="99" t="n">
        <v>0.053</v>
      </c>
      <c r="H18" s="99" t="n">
        <v>0.05</v>
      </c>
      <c r="I18" s="99" t="n">
        <v>0.048</v>
      </c>
      <c r="J18" s="99" t="n">
        <v>0.045</v>
      </c>
    </row>
    <row r="19" ht="18" customHeight="1" s="80">
      <c r="B19" s="102" t="inlineStr">
        <is>
          <t>Working capital movement as a share of revenue growth</t>
        </is>
      </c>
      <c r="C19" s="103" t="n"/>
      <c r="D19" s="103" t="n"/>
      <c r="E19" s="103" t="n"/>
      <c r="F19" s="104" t="n">
        <v>0.018</v>
      </c>
      <c r="G19" s="104" t="n">
        <v>0.018</v>
      </c>
      <c r="H19" s="104" t="n">
        <v>0.017</v>
      </c>
      <c r="I19" s="104" t="n">
        <v>0.017</v>
      </c>
      <c r="J19" s="104" t="n">
        <v>0.016</v>
      </c>
    </row>
    <row r="20" ht="18" customHeight="1" s="80">
      <c r="B20" s="95" t="inlineStr">
        <is>
          <t>Corporate tax rate</t>
        </is>
      </c>
      <c r="F20" s="99" t="n">
        <v>0.25</v>
      </c>
      <c r="G20" s="99" t="n">
        <v>0.25</v>
      </c>
      <c r="H20" s="99" t="n">
        <v>0.25</v>
      </c>
      <c r="I20" s="99" t="n">
        <v>0.25</v>
      </c>
      <c r="J20" s="99" t="n">
        <v>0.25</v>
      </c>
    </row>
    <row r="23" ht="19.5" customHeight="1" s="80">
      <c r="B23" s="94" t="inlineStr">
        <is>
          <t>Deal Structure</t>
        </is>
      </c>
    </row>
    <row r="24" ht="18" customHeight="1" s="80">
      <c r="B24" s="102" t="inlineStr">
        <is>
          <t>Year we're buying the business</t>
        </is>
      </c>
      <c r="C24" s="105" t="n">
        <v>2024</v>
      </c>
      <c r="D24" s="103" t="n"/>
      <c r="E24" s="103" t="n"/>
    </row>
    <row r="25" ht="18" customHeight="1" s="80">
      <c r="B25" s="95" t="inlineStr">
        <is>
          <t>What multiple of EBITDA we're paying</t>
        </is>
      </c>
      <c r="C25" s="106" t="n">
        <v>10</v>
      </c>
    </row>
    <row r="26" ht="18" customHeight="1" s="80">
      <c r="B26" s="102" t="inlineStr">
        <is>
          <t>Total price paid (₹ Cr)</t>
        </is>
      </c>
      <c r="C26" s="107">
        <f>C9*C25</f>
        <v/>
      </c>
      <c r="D26" s="103" t="n"/>
      <c r="E26" s="103" t="n"/>
    </row>
    <row r="27" ht="7.5" customHeight="1" s="80"/>
    <row r="28" ht="18" customHeight="1" s="80">
      <c r="B28" s="102" t="inlineStr">
        <is>
          <t>How much comes from equity (%)</t>
        </is>
      </c>
      <c r="C28" s="104" t="n">
        <v>0.4</v>
      </c>
      <c r="D28" s="103" t="n"/>
      <c r="E28" s="103" t="n"/>
    </row>
    <row r="29" ht="18" customHeight="1" s="80">
      <c r="B29" s="95" t="inlineStr">
        <is>
          <t>How much comes from senior bank debt (%)</t>
        </is>
      </c>
      <c r="C29" s="99" t="n">
        <v>0.4</v>
      </c>
    </row>
    <row r="30" ht="18" customHeight="1" s="80">
      <c r="B30" s="102" t="inlineStr">
        <is>
          <t>How much comes from subordinated debt (%)</t>
        </is>
      </c>
      <c r="C30" s="104" t="n">
        <v>0.2</v>
      </c>
      <c r="D30" s="103" t="n"/>
      <c r="E30" s="103" t="n"/>
    </row>
    <row r="31" ht="7.5" customHeight="1" s="80"/>
    <row r="32" ht="18" customHeight="1" s="80">
      <c r="B32" s="102" t="inlineStr">
        <is>
          <t>Equity cheque (₹ Cr)</t>
        </is>
      </c>
      <c r="C32" s="107">
        <f>C26*C28</f>
        <v/>
      </c>
      <c r="D32" s="103" t="n"/>
      <c r="E32" s="103" t="n"/>
    </row>
    <row r="33" ht="18" customHeight="1" s="80">
      <c r="B33" s="95" t="inlineStr">
        <is>
          <t>Senior bank debt (₹ Cr)</t>
        </is>
      </c>
      <c r="C33" s="108">
        <f>C26*C29</f>
        <v/>
      </c>
    </row>
    <row r="34" ht="18" customHeight="1" s="80">
      <c r="B34" s="102" t="inlineStr">
        <is>
          <t>Subordinated debt (₹ Cr)</t>
        </is>
      </c>
      <c r="C34" s="107">
        <f>C26*C30</f>
        <v/>
      </c>
      <c r="D34" s="103" t="n"/>
      <c r="E34" s="103" t="n"/>
    </row>
    <row r="35" ht="18" customHeight="1" s="80">
      <c r="B35" s="95" t="inlineStr">
        <is>
          <t>Total debt raised (₹ Cr)</t>
        </is>
      </c>
      <c r="C35" s="108">
        <f>C33+C34</f>
        <v/>
      </c>
    </row>
    <row r="36" ht="7.5" customHeight="1" s="80"/>
    <row r="37" ht="18" customHeight="1" s="80">
      <c r="B37" s="95" t="inlineStr">
        <is>
          <t>Senior debt interest rate</t>
        </is>
      </c>
      <c r="C37" s="99" t="n">
        <v>0.075</v>
      </c>
    </row>
    <row r="38" ht="18" customHeight="1" s="80">
      <c r="B38" s="102" t="inlineStr">
        <is>
          <t>Sub debt interest rate</t>
        </is>
      </c>
      <c r="C38" s="104" t="n">
        <v>0.105</v>
      </c>
      <c r="D38" s="103" t="n"/>
      <c r="E38" s="103" t="n"/>
    </row>
    <row r="39" ht="18" customHeight="1" s="80">
      <c r="B39" s="95" t="inlineStr">
        <is>
          <t>How much senior debt gets repaid each year</t>
        </is>
      </c>
      <c r="C39" s="99" t="n">
        <v>0.1</v>
      </c>
    </row>
    <row r="40" ht="7.5" customHeight="1" s="80"/>
    <row r="41" ht="18" customHeight="1" s="80">
      <c r="B41" s="95" t="inlineStr">
        <is>
          <t>Year we sell the business</t>
        </is>
      </c>
      <c r="C41" s="96" t="n">
        <v>2029</v>
      </c>
    </row>
    <row r="42" ht="18" customHeight="1" s="80">
      <c r="B42" s="102" t="inlineStr">
        <is>
          <t>What multiple of EBITDA we sell at</t>
        </is>
      </c>
      <c r="C42" s="109" t="n">
        <v>10</v>
      </c>
      <c r="D42" s="103" t="n"/>
      <c r="E42" s="103" t="n"/>
    </row>
  </sheetData>
  <mergeCells count="5">
    <mergeCell ref="B1:E1"/>
    <mergeCell ref="B4:E4"/>
    <mergeCell ref="B13:E13"/>
    <mergeCell ref="B23:J23"/>
    <mergeCell ref="B2:E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1:I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79" min="1" max="1"/>
    <col width="32" customWidth="1" style="79" min="2" max="2"/>
    <col width="6" customWidth="1" style="79" min="3" max="3"/>
    <col width="16" customWidth="1" style="79" min="4" max="9"/>
  </cols>
  <sheetData>
    <row r="1" ht="30" customHeight="1" s="80">
      <c r="B1" s="92" t="inlineStr">
        <is>
          <t>Income Statement (₹ Crore)</t>
        </is>
      </c>
    </row>
    <row r="2" ht="19.5" customHeight="1" s="80">
      <c r="B2" s="110" t="inlineStr">
        <is>
          <t>Line Item</t>
        </is>
      </c>
      <c r="C2" s="111" t="inlineStr">
        <is>
          <t>How it's built</t>
        </is>
      </c>
      <c r="D2" s="101" t="inlineStr">
        <is>
          <t>FY2024A</t>
        </is>
      </c>
      <c r="E2" s="101" t="inlineStr">
        <is>
          <t>FY2025E</t>
        </is>
      </c>
      <c r="F2" s="101" t="inlineStr">
        <is>
          <t>FY2026E</t>
        </is>
      </c>
      <c r="G2" s="101" t="inlineStr">
        <is>
          <t>FY2027E</t>
        </is>
      </c>
      <c r="H2" s="101" t="inlineStr">
        <is>
          <t>FY2028E</t>
        </is>
      </c>
      <c r="I2" s="101" t="inlineStr">
        <is>
          <t>FY2029E</t>
        </is>
      </c>
    </row>
    <row r="3" ht="18" customHeight="1" s="80">
      <c r="B3" s="112" t="inlineStr">
        <is>
          <t>Revenue</t>
        </is>
      </c>
      <c r="C3" s="113" t="inlineStr">
        <is>
          <t>Last year × (1 + growth)</t>
        </is>
      </c>
      <c r="D3" s="114">
        <f>Assumptions!C8</f>
        <v/>
      </c>
      <c r="E3" s="115">
        <f>D3*(1+Assumptions!F15)</f>
        <v/>
      </c>
      <c r="F3" s="115">
        <f>E3*(1+Assumptions!G15)</f>
        <v/>
      </c>
      <c r="G3" s="115">
        <f>F3*(1+Assumptions!H15)</f>
        <v/>
      </c>
      <c r="H3" s="115">
        <f>G3*(1+Assumptions!I15)</f>
        <v/>
      </c>
      <c r="I3" s="115">
        <f>H3*(1+Assumptions!J15)</f>
        <v/>
      </c>
    </row>
    <row r="4" ht="18" customHeight="1" s="80">
      <c r="B4" s="95" t="inlineStr">
        <is>
          <t xml:space="preserve">  YoY Growth (%)</t>
        </is>
      </c>
      <c r="C4" s="116" t="inlineStr">
        <is>
          <t>%</t>
        </is>
      </c>
      <c r="E4" s="117">
        <f>Assumptions!F15</f>
        <v/>
      </c>
      <c r="F4" s="117">
        <f>Assumptions!G15</f>
        <v/>
      </c>
      <c r="G4" s="117">
        <f>Assumptions!H15</f>
        <v/>
      </c>
      <c r="H4" s="117">
        <f>Assumptions!I15</f>
        <v/>
      </c>
      <c r="I4" s="117">
        <f>Assumptions!J15</f>
        <v/>
      </c>
    </row>
    <row r="5" ht="18" customHeight="1" s="80">
      <c r="B5" s="95" t="n"/>
      <c r="C5" s="116" t="n"/>
    </row>
    <row r="6" ht="18" customHeight="1" s="80">
      <c r="B6" s="112" t="inlineStr">
        <is>
          <t>EBITDA</t>
        </is>
      </c>
      <c r="C6" s="113" t="inlineStr">
        <is>
          <t>Revenue × margin %</t>
        </is>
      </c>
      <c r="D6" s="114">
        <f>Assumptions!C9</f>
        <v/>
      </c>
      <c r="E6" s="118">
        <f>E3*Assumptions!F16</f>
        <v/>
      </c>
      <c r="F6" s="118">
        <f>F3*Assumptions!G16</f>
        <v/>
      </c>
      <c r="G6" s="118">
        <f>G3*Assumptions!H16</f>
        <v/>
      </c>
      <c r="H6" s="118">
        <f>H3*Assumptions!I16</f>
        <v/>
      </c>
      <c r="I6" s="118">
        <f>I3*Assumptions!J16</f>
        <v/>
      </c>
    </row>
    <row r="7" ht="18" customHeight="1" s="80">
      <c r="B7" s="95" t="inlineStr">
        <is>
          <t xml:space="preserve">  EBITDA Margin (%)</t>
        </is>
      </c>
      <c r="C7" s="116" t="inlineStr">
        <is>
          <t>%</t>
        </is>
      </c>
      <c r="E7" s="117">
        <f>Assumptions!F16</f>
        <v/>
      </c>
      <c r="F7" s="117">
        <f>Assumptions!G16</f>
        <v/>
      </c>
      <c r="G7" s="117">
        <f>Assumptions!H16</f>
        <v/>
      </c>
      <c r="H7" s="117">
        <f>Assumptions!I16</f>
        <v/>
      </c>
      <c r="I7" s="117">
        <f>Assumptions!J16</f>
        <v/>
      </c>
    </row>
    <row r="8" ht="18" customHeight="1" s="80">
      <c r="B8" s="95" t="inlineStr">
        <is>
          <t xml:space="preserve">  D&amp;A</t>
        </is>
      </c>
      <c r="C8" s="116" t="inlineStr">
        <is>
          <t>Revenue × D&amp;A %</t>
        </is>
      </c>
      <c r="E8" s="108">
        <f>E3*Assumptions!F17</f>
        <v/>
      </c>
      <c r="F8" s="108">
        <f>F3*Assumptions!G17</f>
        <v/>
      </c>
      <c r="G8" s="108">
        <f>G3*Assumptions!H17</f>
        <v/>
      </c>
      <c r="H8" s="108">
        <f>H3*Assumptions!I17</f>
        <v/>
      </c>
      <c r="I8" s="108">
        <f>I3*Assumptions!J17</f>
        <v/>
      </c>
    </row>
    <row r="9" ht="18" customHeight="1" s="80">
      <c r="B9" s="112" t="inlineStr">
        <is>
          <t>EBIT</t>
        </is>
      </c>
      <c r="C9" s="113" t="inlineStr">
        <is>
          <t>EBITDA minus D&amp;A</t>
        </is>
      </c>
      <c r="D9" s="119" t="n"/>
      <c r="E9" s="118">
        <f>E6-E8</f>
        <v/>
      </c>
      <c r="F9" s="118">
        <f>F6-F8</f>
        <v/>
      </c>
      <c r="G9" s="118">
        <f>G6-G8</f>
        <v/>
      </c>
      <c r="H9" s="118">
        <f>H6-H8</f>
        <v/>
      </c>
      <c r="I9" s="118">
        <f>I6-I8</f>
        <v/>
      </c>
    </row>
    <row r="10" ht="18" customHeight="1" s="80">
      <c r="B10" s="95" t="inlineStr">
        <is>
          <t xml:space="preserve">  Interest Expense</t>
        </is>
      </c>
      <c r="C10" s="116" t="inlineStr">
        <is>
          <t>From debt schedule</t>
        </is>
      </c>
      <c r="E10" s="120">
        <f>'Debt Schedule'!D15</f>
        <v/>
      </c>
      <c r="F10" s="120">
        <f>'Debt Schedule'!E15</f>
        <v/>
      </c>
      <c r="G10" s="120">
        <f>'Debt Schedule'!F15</f>
        <v/>
      </c>
      <c r="H10" s="120">
        <f>'Debt Schedule'!G15</f>
        <v/>
      </c>
      <c r="I10" s="120">
        <f>'Debt Schedule'!H15</f>
        <v/>
      </c>
    </row>
    <row r="11" ht="18" customHeight="1" s="80">
      <c r="B11" s="112" t="inlineStr">
        <is>
          <t>EBT</t>
        </is>
      </c>
      <c r="C11" s="113" t="inlineStr">
        <is>
          <t>EBIT minus interest</t>
        </is>
      </c>
      <c r="D11" s="119" t="n"/>
      <c r="E11" s="118">
        <f>E9-E10</f>
        <v/>
      </c>
      <c r="F11" s="118">
        <f>F9-F10</f>
        <v/>
      </c>
      <c r="G11" s="118">
        <f>G9-G10</f>
        <v/>
      </c>
      <c r="H11" s="118">
        <f>H9-H10</f>
        <v/>
      </c>
      <c r="I11" s="118">
        <f>I9-I10</f>
        <v/>
      </c>
    </row>
    <row r="12" ht="18" customHeight="1" s="80">
      <c r="B12" s="95" t="inlineStr">
        <is>
          <t xml:space="preserve">  Taxes</t>
        </is>
      </c>
      <c r="C12" s="116" t="inlineStr">
        <is>
          <t>Tax only if profit is positive</t>
        </is>
      </c>
      <c r="E12" s="108">
        <f>MAX(E11,0)*Assumptions!F20</f>
        <v/>
      </c>
      <c r="F12" s="108">
        <f>MAX(F11,0)*Assumptions!G20</f>
        <v/>
      </c>
      <c r="G12" s="108">
        <f>MAX(G11,0)*Assumptions!H20</f>
        <v/>
      </c>
      <c r="H12" s="108">
        <f>MAX(H11,0)*Assumptions!I20</f>
        <v/>
      </c>
      <c r="I12" s="108">
        <f>MAX(I11,0)*Assumptions!J20</f>
        <v/>
      </c>
    </row>
    <row r="13" ht="18" customHeight="1" s="80">
      <c r="B13" s="121" t="inlineStr">
        <is>
          <t>Net Income</t>
        </is>
      </c>
      <c r="C13" s="122" t="inlineStr">
        <is>
          <t>EBT minus taxes</t>
        </is>
      </c>
      <c r="D13" s="123" t="n"/>
      <c r="E13" s="124">
        <f>E11-E12</f>
        <v/>
      </c>
      <c r="F13" s="124">
        <f>F11-F12</f>
        <v/>
      </c>
      <c r="G13" s="124">
        <f>G11-G12</f>
        <v/>
      </c>
      <c r="H13" s="124">
        <f>H11-H12</f>
        <v/>
      </c>
      <c r="I13" s="124">
        <f>I11-I12</f>
        <v/>
      </c>
    </row>
  </sheetData>
  <mergeCells count="1">
    <mergeCell ref="B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1:I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79" min="1" max="1"/>
    <col width="34" customWidth="1" style="79" min="2" max="2"/>
    <col width="6" customWidth="1" style="79" min="3" max="3"/>
    <col width="16" customWidth="1" style="79" min="4" max="9"/>
  </cols>
  <sheetData>
    <row r="1" ht="30" customHeight="1" s="80">
      <c r="B1" s="92" t="inlineStr">
        <is>
          <t>Cash Flow Statement (₹ Crore)</t>
        </is>
      </c>
    </row>
    <row r="2" ht="19.5" customHeight="1" s="80">
      <c r="B2" s="110" t="inlineStr">
        <is>
          <t>Line Item</t>
        </is>
      </c>
      <c r="C2" s="111" t="inlineStr">
        <is>
          <t>How it's built</t>
        </is>
      </c>
      <c r="D2" s="101" t="inlineStr">
        <is>
          <t>FY2024A</t>
        </is>
      </c>
      <c r="E2" s="101" t="inlineStr">
        <is>
          <t>FY2025E</t>
        </is>
      </c>
      <c r="F2" s="101" t="inlineStr">
        <is>
          <t>FY2026E</t>
        </is>
      </c>
      <c r="G2" s="101" t="inlineStr">
        <is>
          <t>FY2027E</t>
        </is>
      </c>
      <c r="H2" s="101" t="inlineStr">
        <is>
          <t>FY2028E</t>
        </is>
      </c>
      <c r="I2" s="101" t="inlineStr">
        <is>
          <t>FY2029E</t>
        </is>
      </c>
    </row>
    <row r="3" ht="18" customHeight="1" s="80">
      <c r="B3" s="112" t="inlineStr">
        <is>
          <t>Net Income</t>
        </is>
      </c>
      <c r="C3" s="113" t="inlineStr">
        <is>
          <t>Pulled from income statement</t>
        </is>
      </c>
      <c r="D3" s="125" t="n">
        <v>0</v>
      </c>
      <c r="E3" s="126">
        <f>'Income Statement'!E13</f>
        <v/>
      </c>
      <c r="F3" s="126">
        <f>'Income Statement'!F13</f>
        <v/>
      </c>
      <c r="G3" s="126">
        <f>'Income Statement'!G13</f>
        <v/>
      </c>
      <c r="H3" s="126">
        <f>'Income Statement'!H13</f>
        <v/>
      </c>
      <c r="I3" s="126">
        <f>'Income Statement'!I13</f>
        <v/>
      </c>
    </row>
    <row r="4" ht="18" customHeight="1" s="80">
      <c r="B4" s="95" t="inlineStr">
        <is>
          <t xml:space="preserve">  + D&amp;A</t>
        </is>
      </c>
      <c r="C4" s="116" t="inlineStr">
        <is>
          <t>Added back — not a real cash cost</t>
        </is>
      </c>
      <c r="D4" s="127" t="n">
        <v>0</v>
      </c>
      <c r="E4" s="120">
        <f>'Income Statement'!E8</f>
        <v/>
      </c>
      <c r="F4" s="120">
        <f>'Income Statement'!F8</f>
        <v/>
      </c>
      <c r="G4" s="120">
        <f>'Income Statement'!G8</f>
        <v/>
      </c>
      <c r="H4" s="120">
        <f>'Income Statement'!H8</f>
        <v/>
      </c>
      <c r="I4" s="120">
        <f>'Income Statement'!I8</f>
        <v/>
      </c>
    </row>
    <row r="5" ht="18" customHeight="1" s="80">
      <c r="B5" s="95" t="inlineStr">
        <is>
          <t xml:space="preserve">  - CapEx</t>
        </is>
      </c>
      <c r="C5" s="116" t="inlineStr">
        <is>
          <t>Revenue × capex %</t>
        </is>
      </c>
      <c r="D5" s="127" t="n">
        <v>0</v>
      </c>
      <c r="E5" s="108">
        <f>-'Income Statement'!E3*Assumptions!F18</f>
        <v/>
      </c>
      <c r="F5" s="108">
        <f>-'Income Statement'!F3*Assumptions!G18</f>
        <v/>
      </c>
      <c r="G5" s="108">
        <f>-'Income Statement'!G3*Assumptions!H18</f>
        <v/>
      </c>
      <c r="H5" s="108">
        <f>-'Income Statement'!H3*Assumptions!I18</f>
        <v/>
      </c>
      <c r="I5" s="108">
        <f>-'Income Statement'!I3*Assumptions!J18</f>
        <v/>
      </c>
    </row>
    <row r="6" ht="18" customHeight="1" s="80">
      <c r="B6" s="95" t="inlineStr">
        <is>
          <t xml:space="preserve">  - Change in Working Capital</t>
        </is>
      </c>
      <c r="C6" s="116" t="inlineStr">
        <is>
          <t>Revenue growth × NWC %</t>
        </is>
      </c>
      <c r="E6" s="108">
        <f>-('Income Statement'!E3-'Income Statement'!D3)*Assumptions!F19</f>
        <v/>
      </c>
      <c r="F6" s="108">
        <f>-('Income Statement'!F3-'Income Statement'!E3)*Assumptions!G19</f>
        <v/>
      </c>
      <c r="G6" s="108">
        <f>-('Income Statement'!G3-'Income Statement'!F3)*Assumptions!H19</f>
        <v/>
      </c>
      <c r="H6" s="108">
        <f>-('Income Statement'!H3-'Income Statement'!G3)*Assumptions!I19</f>
        <v/>
      </c>
      <c r="I6" s="108">
        <f>-('Income Statement'!I3-'Income Statement'!H3)*Assumptions!J19</f>
        <v/>
      </c>
    </row>
    <row r="7" ht="18" customHeight="1" s="80">
      <c r="B7" s="128" t="inlineStr">
        <is>
          <t>Free Cash Flow</t>
        </is>
      </c>
      <c r="C7" s="129" t="inlineStr">
        <is>
          <t>Everything above added up</t>
        </is>
      </c>
      <c r="D7" s="130" t="n"/>
      <c r="E7" s="131">
        <f>SUM(E3:E6)</f>
        <v/>
      </c>
      <c r="F7" s="131">
        <f>SUM(F3:F6)</f>
        <v/>
      </c>
      <c r="G7" s="131">
        <f>SUM(G3:G6)</f>
        <v/>
      </c>
      <c r="H7" s="131">
        <f>SUM(H3:H6)</f>
        <v/>
      </c>
      <c r="I7" s="131">
        <f>SUM(I3:I6)</f>
        <v/>
      </c>
    </row>
    <row r="8" ht="18" customHeight="1" s="80">
      <c r="B8" s="95" t="inlineStr">
        <is>
          <t xml:space="preserve">  - Mandatory Debt Repayment</t>
        </is>
      </c>
      <c r="C8" s="116" t="inlineStr">
        <is>
          <t>Pulled from debt schedule</t>
        </is>
      </c>
      <c r="E8" s="120">
        <f>'Debt Schedule'!D4</f>
        <v/>
      </c>
      <c r="F8" s="120">
        <f>'Debt Schedule'!E4</f>
        <v/>
      </c>
      <c r="G8" s="120">
        <f>'Debt Schedule'!F4</f>
        <v/>
      </c>
      <c r="H8" s="120">
        <f>'Debt Schedule'!G4</f>
        <v/>
      </c>
      <c r="I8" s="120">
        <f>'Debt Schedule'!H4</f>
        <v/>
      </c>
    </row>
    <row r="9" ht="18" customHeight="1" s="80">
      <c r="B9" s="121" t="inlineStr">
        <is>
          <t>Cash Available for Sweep</t>
        </is>
      </c>
      <c r="C9" s="122" t="inlineStr">
        <is>
          <t>What's left after mandatory repayment</t>
        </is>
      </c>
      <c r="D9" s="123" t="n"/>
      <c r="E9" s="124">
        <f>E7+E8</f>
        <v/>
      </c>
      <c r="F9" s="124">
        <f>F7+F8</f>
        <v/>
      </c>
      <c r="G9" s="124">
        <f>G7+G8</f>
        <v/>
      </c>
      <c r="H9" s="124">
        <f>H7+H8</f>
        <v/>
      </c>
      <c r="I9" s="124">
        <f>I7+I8</f>
        <v/>
      </c>
    </row>
  </sheetData>
  <mergeCells count="1">
    <mergeCell ref="B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B1:H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79" min="1" max="1"/>
    <col width="36" customWidth="1" style="79" min="2" max="2"/>
    <col width="6" customWidth="1" style="79" min="3" max="3"/>
    <col width="16" customWidth="1" style="79" min="4" max="8"/>
  </cols>
  <sheetData>
    <row r="1" ht="30" customHeight="1" s="80">
      <c r="B1" s="92" t="inlineStr">
        <is>
          <t>Debt Schedule (₹ Crore)</t>
        </is>
      </c>
    </row>
    <row r="2" ht="18" customHeight="1" s="80">
      <c r="B2" s="94" t="inlineStr">
        <is>
          <t>Senior Debt  (7.5% per year)</t>
        </is>
      </c>
    </row>
    <row r="3" ht="18" customHeight="1" s="80">
      <c r="B3" s="112" t="inlineStr">
        <is>
          <t>Opening balance</t>
        </is>
      </c>
      <c r="C3" s="119" t="n"/>
      <c r="D3" s="126">
        <f>Assumptions!C33</f>
        <v/>
      </c>
      <c r="E3" s="115">
        <f>D6</f>
        <v/>
      </c>
      <c r="F3" s="115">
        <f>E6</f>
        <v/>
      </c>
      <c r="G3" s="115">
        <f>F6</f>
        <v/>
      </c>
      <c r="H3" s="115">
        <f>G6</f>
        <v/>
      </c>
    </row>
    <row r="4" ht="18" customHeight="1" s="80">
      <c r="B4" s="95" t="inlineStr">
        <is>
          <t xml:space="preserve">  Scheduled repayment (10% of original each year)</t>
        </is>
      </c>
      <c r="D4" s="108">
        <f>-Assumptions!C33*Assumptions!C39</f>
        <v/>
      </c>
      <c r="E4" s="108">
        <f>-Assumptions!C33*Assumptions!C39</f>
        <v/>
      </c>
      <c r="F4" s="108">
        <f>-Assumptions!C33*Assumptions!C39</f>
        <v/>
      </c>
      <c r="G4" s="108">
        <f>-Assumptions!C33*Assumptions!C39</f>
        <v/>
      </c>
      <c r="H4" s="108">
        <f>-Assumptions!C33*Assumptions!C39</f>
        <v/>
      </c>
    </row>
    <row r="5" ht="18" customHeight="1" s="80">
      <c r="B5" s="95" t="inlineStr">
        <is>
          <t xml:space="preserve">  Extra repayment from spare cash</t>
        </is>
      </c>
      <c r="D5" s="108">
        <f>-MIN(MAX('Cash Flow'!D9,0),D3+D4)</f>
        <v/>
      </c>
      <c r="E5" s="108">
        <f>-MIN(MAX('Cash Flow'!E9,0),E3+E4)</f>
        <v/>
      </c>
      <c r="F5" s="108">
        <f>-MIN(MAX('Cash Flow'!F9,0),F3+F4)</f>
        <v/>
      </c>
      <c r="G5" s="108">
        <f>-MIN(MAX('Cash Flow'!G9,0),G3+G4)</f>
        <v/>
      </c>
      <c r="H5" s="108">
        <f>-MIN(MAX('Cash Flow'!H9,0),H3+H4)</f>
        <v/>
      </c>
    </row>
    <row r="6" ht="18" customHeight="1" s="80">
      <c r="B6" s="112" t="inlineStr">
        <is>
          <t>Closing balance</t>
        </is>
      </c>
      <c r="C6" s="119" t="n"/>
      <c r="D6" s="118">
        <f>D3+D4+D5</f>
        <v/>
      </c>
      <c r="E6" s="118">
        <f>E3+E4+E5</f>
        <v/>
      </c>
      <c r="F6" s="118">
        <f>F3+F4+F5</f>
        <v/>
      </c>
      <c r="G6" s="118">
        <f>G3+G4+G5</f>
        <v/>
      </c>
      <c r="H6" s="118">
        <f>H3+H4+H5</f>
        <v/>
      </c>
    </row>
    <row r="7" ht="18" customHeight="1" s="80">
      <c r="B7" s="132" t="inlineStr">
        <is>
          <t>Interest charge for the year</t>
        </is>
      </c>
      <c r="C7" s="123" t="n"/>
      <c r="D7" s="133">
        <f>AVERAGE(D3,D6)*Assumptions!C37</f>
        <v/>
      </c>
      <c r="E7" s="133">
        <f>AVERAGE(E3,E6)*Assumptions!C37</f>
        <v/>
      </c>
      <c r="F7" s="133">
        <f>AVERAGE(F3,F6)*Assumptions!C37</f>
        <v/>
      </c>
      <c r="G7" s="133">
        <f>AVERAGE(G3,G6)*Assumptions!C37</f>
        <v/>
      </c>
      <c r="H7" s="133">
        <f>AVERAGE(H3,H6)*Assumptions!C37</f>
        <v/>
      </c>
    </row>
    <row r="8" ht="18" customHeight="1" s="80">
      <c r="B8" s="94" t="inlineStr">
        <is>
          <t>Subordinated Debt  (10.5% per year)</t>
        </is>
      </c>
    </row>
    <row r="9" ht="18" customHeight="1" s="80">
      <c r="B9" s="112" t="inlineStr">
        <is>
          <t>Opening balance</t>
        </is>
      </c>
      <c r="C9" s="119" t="n"/>
      <c r="D9" s="126">
        <f>Assumptions!C34</f>
        <v/>
      </c>
      <c r="E9" s="115">
        <f>D11</f>
        <v/>
      </c>
      <c r="F9" s="115">
        <f>E11</f>
        <v/>
      </c>
      <c r="G9" s="115">
        <f>F11</f>
        <v/>
      </c>
      <c r="H9" s="115">
        <f>G11</f>
        <v/>
      </c>
    </row>
    <row r="10" ht="18" customHeight="1" s="80">
      <c r="B10" s="95" t="inlineStr">
        <is>
          <t xml:space="preserve">  Scheduled repayment</t>
        </is>
      </c>
      <c r="D10" s="97" t="n">
        <v>0</v>
      </c>
      <c r="E10" s="97" t="n">
        <v>0</v>
      </c>
      <c r="F10" s="97" t="n">
        <v>0</v>
      </c>
      <c r="G10" s="97" t="n">
        <v>0</v>
      </c>
      <c r="H10" s="97" t="n">
        <v>0</v>
      </c>
    </row>
    <row r="11" ht="18" customHeight="1" s="80">
      <c r="B11" s="112" t="inlineStr">
        <is>
          <t>Closing balance</t>
        </is>
      </c>
      <c r="C11" s="119" t="n"/>
      <c r="D11" s="118">
        <f>D9+D10</f>
        <v/>
      </c>
      <c r="E11" s="118">
        <f>E9+E10</f>
        <v/>
      </c>
      <c r="F11" s="118">
        <f>F9+F10</f>
        <v/>
      </c>
      <c r="G11" s="118">
        <f>G9+G10</f>
        <v/>
      </c>
      <c r="H11" s="118">
        <f>H9+H10</f>
        <v/>
      </c>
    </row>
    <row r="12" ht="18" customHeight="1" s="80">
      <c r="B12" s="132" t="inlineStr">
        <is>
          <t>Interest charge for the year</t>
        </is>
      </c>
      <c r="C12" s="123" t="n"/>
      <c r="D12" s="133">
        <f>AVERAGE(D9,D11)*Assumptions!C38</f>
        <v/>
      </c>
      <c r="E12" s="133">
        <f>AVERAGE(E9,E11)*Assumptions!C38</f>
        <v/>
      </c>
      <c r="F12" s="133">
        <f>AVERAGE(F9,F11)*Assumptions!C38</f>
        <v/>
      </c>
      <c r="G12" s="133">
        <f>AVERAGE(G9,G11)*Assumptions!C38</f>
        <v/>
      </c>
      <c r="H12" s="133">
        <f>AVERAGE(H9,H11)*Assumptions!C38</f>
        <v/>
      </c>
    </row>
    <row r="13" ht="18" customHeight="1" s="80">
      <c r="B13" s="94" t="inlineStr">
        <is>
          <t>Total</t>
        </is>
      </c>
    </row>
    <row r="14" ht="18" customHeight="1" s="80">
      <c r="B14" s="134" t="inlineStr">
        <is>
          <t>Total debt at year end</t>
        </is>
      </c>
      <c r="C14" s="123" t="n"/>
      <c r="D14" s="124">
        <f>D6+D11</f>
        <v/>
      </c>
      <c r="E14" s="124">
        <f>E6+E11</f>
        <v/>
      </c>
      <c r="F14" s="124">
        <f>F6+F11</f>
        <v/>
      </c>
      <c r="G14" s="124">
        <f>G6+G11</f>
        <v/>
      </c>
      <c r="H14" s="124">
        <f>H6+H11</f>
        <v/>
      </c>
    </row>
    <row r="15" ht="18" customHeight="1" s="80">
      <c r="B15" s="134" t="inlineStr">
        <is>
          <t>Total interest paid in the year</t>
        </is>
      </c>
      <c r="C15" s="123" t="n"/>
      <c r="D15" s="124">
        <f>D7+D12</f>
        <v/>
      </c>
      <c r="E15" s="124">
        <f>E7+E12</f>
        <v/>
      </c>
      <c r="F15" s="124">
        <f>F7+F12</f>
        <v/>
      </c>
      <c r="G15" s="124">
        <f>G7+G12</f>
        <v/>
      </c>
      <c r="H15" s="124">
        <f>H7+H12</f>
        <v/>
      </c>
    </row>
  </sheetData>
  <mergeCells count="4">
    <mergeCell ref="B1:H1"/>
    <mergeCell ref="B8:H8"/>
    <mergeCell ref="B2:H2"/>
    <mergeCell ref="B13:H1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B1:I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79" min="1" max="1"/>
    <col width="36" customWidth="1" style="79" min="2" max="2"/>
    <col width="6" customWidth="1" style="79" min="3" max="3"/>
    <col width="18" customWidth="1" style="79" min="4" max="9"/>
  </cols>
  <sheetData>
    <row r="1" ht="30" customHeight="1" s="80">
      <c r="B1" s="92" t="inlineStr">
        <is>
          <t>Returns — IRR &amp; MOIC</t>
        </is>
      </c>
    </row>
    <row r="2" ht="19.5" customHeight="1" s="80">
      <c r="D2" s="101" t="inlineStr">
        <is>
          <t>Year 0 (Entry)</t>
        </is>
      </c>
      <c r="E2" s="101" t="inlineStr">
        <is>
          <t>FY2025E</t>
        </is>
      </c>
      <c r="F2" s="101" t="inlineStr">
        <is>
          <t>FY2026E</t>
        </is>
      </c>
      <c r="G2" s="101" t="inlineStr">
        <is>
          <t>FY2027E</t>
        </is>
      </c>
      <c r="H2" s="101" t="inlineStr">
        <is>
          <t>FY2028E</t>
        </is>
      </c>
      <c r="I2" s="101" t="inlineStr">
        <is>
          <t>FY2029E (Exit)</t>
        </is>
      </c>
    </row>
    <row r="3" ht="19.5" customHeight="1" s="80">
      <c r="B3" s="94" t="inlineStr">
        <is>
          <t>Exit Valuation</t>
        </is>
      </c>
    </row>
    <row r="4" ht="18" customHeight="1" s="80">
      <c r="B4" s="95" t="inlineStr">
        <is>
          <t>EBITDA in exit year</t>
        </is>
      </c>
      <c r="I4" s="120">
        <f>'Income Statement'!I6</f>
        <v/>
      </c>
    </row>
    <row r="5" ht="18" customHeight="1" s="80">
      <c r="B5" s="95" t="inlineStr">
        <is>
          <t>Exit multiple (times EBITDA)</t>
        </is>
      </c>
      <c r="I5" s="135">
        <f>Assumptions!C42</f>
        <v/>
      </c>
    </row>
    <row r="6" ht="18" customHeight="1" s="80">
      <c r="B6" s="95" t="inlineStr">
        <is>
          <t>Enterprise value at exit</t>
        </is>
      </c>
      <c r="I6" s="108">
        <f>I4*I5</f>
        <v/>
      </c>
    </row>
    <row r="7" ht="18" customHeight="1" s="80">
      <c r="B7" s="95" t="inlineStr">
        <is>
          <t>Debt still outstanding at exit</t>
        </is>
      </c>
      <c r="I7" s="108">
        <f>-'Debt Schedule'!H14</f>
        <v/>
      </c>
    </row>
    <row r="8" ht="18" customHeight="1" s="80">
      <c r="B8" s="128" t="inlineStr">
        <is>
          <t>What equity is worth at exit</t>
        </is>
      </c>
      <c r="C8" s="130" t="n"/>
      <c r="D8" s="130" t="n"/>
      <c r="E8" s="130" t="n"/>
      <c r="F8" s="130" t="n"/>
      <c r="G8" s="130" t="n"/>
      <c r="H8" s="130" t="n"/>
      <c r="I8" s="131">
        <f>I6+I7</f>
        <v/>
      </c>
    </row>
    <row r="10" ht="19.5" customHeight="1" s="80">
      <c r="B10" s="94" t="inlineStr">
        <is>
          <t>Cash flows used for IRR</t>
        </is>
      </c>
    </row>
    <row r="11" ht="18" customHeight="1" s="80">
      <c r="B11" s="121" t="inlineStr">
        <is>
          <t>Equity in / equity out</t>
        </is>
      </c>
      <c r="C11" s="123" t="n"/>
      <c r="D11" s="124">
        <f>-Assumptions!C32</f>
        <v/>
      </c>
      <c r="E11" s="136" t="n">
        <v>0</v>
      </c>
      <c r="F11" s="136" t="n">
        <v>0</v>
      </c>
      <c r="G11" s="136" t="n">
        <v>0</v>
      </c>
      <c r="H11" s="136" t="n">
        <v>0</v>
      </c>
      <c r="I11" s="124">
        <f>I8</f>
        <v/>
      </c>
    </row>
    <row r="13" ht="19.5" customHeight="1" s="80">
      <c r="B13" s="94" t="inlineStr">
        <is>
          <t>Returns</t>
        </is>
      </c>
    </row>
    <row r="14" ht="27.75" customHeight="1" s="80">
      <c r="B14" s="137" t="inlineStr">
        <is>
          <t>IRR</t>
        </is>
      </c>
      <c r="D14" s="138">
        <f>IRR(D11:I11)</f>
        <v/>
      </c>
    </row>
    <row r="15" ht="27.75" customHeight="1" s="80">
      <c r="B15" s="137" t="inlineStr">
        <is>
          <t>MOIC</t>
        </is>
      </c>
      <c r="D15" s="139">
        <f>I11/-D11</f>
        <v/>
      </c>
    </row>
    <row r="17" ht="19.5" customHeight="1" s="80">
      <c r="B17" s="94" t="inlineStr">
        <is>
          <t>What good looks like</t>
        </is>
      </c>
    </row>
    <row r="18" ht="18" customHeight="1" s="80">
      <c r="B18" s="140" t="inlineStr">
        <is>
          <t>IRR &gt; 25%</t>
        </is>
      </c>
      <c r="C18" s="130" t="n"/>
      <c r="D18" s="141" t="inlineStr">
        <is>
          <t>Top quartile PE return</t>
        </is>
      </c>
      <c r="E18" s="130" t="n"/>
      <c r="F18" s="130" t="n"/>
      <c r="G18" s="130" t="n"/>
      <c r="H18" s="130" t="n"/>
      <c r="I18" s="130" t="n"/>
    </row>
    <row r="19" ht="18" customHeight="1" s="80">
      <c r="B19" s="142" t="inlineStr">
        <is>
          <t>IRR 20–25%</t>
        </is>
      </c>
      <c r="C19" s="123" t="n"/>
      <c r="D19" s="143" t="inlineStr">
        <is>
          <t>Clears most PE hurdle rates</t>
        </is>
      </c>
      <c r="E19" s="123" t="n"/>
      <c r="F19" s="123" t="n"/>
      <c r="G19" s="123" t="n"/>
      <c r="H19" s="123" t="n"/>
      <c r="I19" s="123" t="n"/>
    </row>
    <row r="20" ht="18" customHeight="1" s="80">
      <c r="B20" s="144" t="inlineStr">
        <is>
          <t>IRR 15–20%</t>
        </is>
      </c>
      <c r="C20" s="103" t="n"/>
      <c r="D20" s="145" t="inlineStr">
        <is>
          <t>Borderline — most funds would pass</t>
        </is>
      </c>
      <c r="E20" s="103" t="n"/>
      <c r="F20" s="103" t="n"/>
      <c r="G20" s="103" t="n"/>
      <c r="H20" s="103" t="n"/>
      <c r="I20" s="103" t="n"/>
    </row>
    <row r="21" ht="18" customHeight="1" s="80">
      <c r="B21" s="146" t="inlineStr">
        <is>
          <t>IRR &lt; 15%</t>
        </is>
      </c>
      <c r="C21" s="147" t="n"/>
      <c r="D21" s="148" t="inlineStr">
        <is>
          <t>Below the minimum threshold</t>
        </is>
      </c>
      <c r="E21" s="147" t="n"/>
      <c r="F21" s="147" t="n"/>
      <c r="G21" s="147" t="n"/>
      <c r="H21" s="147" t="n"/>
      <c r="I21" s="147" t="n"/>
    </row>
    <row r="22" ht="18" customHeight="1" s="80">
      <c r="B22" s="140" t="inlineStr">
        <is>
          <t>MOIC &gt; 3.0x</t>
        </is>
      </c>
      <c r="C22" s="130" t="n"/>
      <c r="D22" s="141" t="inlineStr">
        <is>
          <t>Strong return over 5 years</t>
        </is>
      </c>
      <c r="E22" s="130" t="n"/>
      <c r="F22" s="130" t="n"/>
      <c r="G22" s="130" t="n"/>
      <c r="H22" s="130" t="n"/>
      <c r="I22" s="130" t="n"/>
    </row>
    <row r="23" ht="18" customHeight="1" s="80">
      <c r="B23" s="142" t="inlineStr">
        <is>
          <t>MOIC 2.0–3.0x</t>
        </is>
      </c>
      <c r="C23" s="123" t="n"/>
      <c r="D23" s="143" t="inlineStr">
        <is>
          <t>Where most deals land</t>
        </is>
      </c>
      <c r="E23" s="123" t="n"/>
      <c r="F23" s="123" t="n"/>
      <c r="G23" s="123" t="n"/>
      <c r="H23" s="123" t="n"/>
      <c r="I23" s="123" t="n"/>
    </row>
    <row r="24" ht="18" customHeight="1" s="80">
      <c r="B24" s="146" t="inlineStr">
        <is>
          <t>MOIC &lt; 2.0x</t>
        </is>
      </c>
      <c r="C24" s="147" t="n"/>
      <c r="D24" s="148" t="inlineStr">
        <is>
          <t>Below what PE funds need</t>
        </is>
      </c>
      <c r="E24" s="147" t="n"/>
      <c r="F24" s="147" t="n"/>
      <c r="G24" s="147" t="n"/>
      <c r="H24" s="147" t="n"/>
      <c r="I24" s="147" t="n"/>
    </row>
  </sheetData>
  <mergeCells count="5">
    <mergeCell ref="B13:I13"/>
    <mergeCell ref="B10:I10"/>
    <mergeCell ref="B3:I3"/>
    <mergeCell ref="B1:I1"/>
    <mergeCell ref="B17:I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B1:K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79" min="1" max="1"/>
    <col width="24" customWidth="1" style="79" min="2" max="2"/>
    <col width="6" customWidth="1" style="79" min="3" max="3"/>
    <col width="14" customWidth="1" style="79" min="4" max="11"/>
  </cols>
  <sheetData>
    <row r="1" ht="30" customHeight="1" s="80">
      <c r="B1" s="92" t="inlineStr">
        <is>
          <t>Sensitivity — IRR across different entry and exit scenarios</t>
        </is>
      </c>
    </row>
    <row r="2" ht="15" customHeight="1" s="80">
      <c r="B2" s="93" t="inlineStr">
        <is>
          <t>Each cell shows the IRR if you bought at that column multiple and sold at that row multiple. Green means the deal works. Red means it doesn't.</t>
        </is>
      </c>
    </row>
    <row r="4" ht="21.75" customHeight="1" s="80">
      <c r="B4" s="101" t="inlineStr">
        <is>
          <t>Exit Multiple \ Entry →</t>
        </is>
      </c>
      <c r="D4" s="101" t="inlineStr">
        <is>
          <t>7.0x</t>
        </is>
      </c>
      <c r="E4" s="101" t="inlineStr">
        <is>
          <t>8.0x</t>
        </is>
      </c>
      <c r="F4" s="101" t="inlineStr">
        <is>
          <t>9.0x</t>
        </is>
      </c>
      <c r="G4" s="101" t="inlineStr">
        <is>
          <t>10.0x</t>
        </is>
      </c>
      <c r="H4" s="101" t="inlineStr">
        <is>
          <t>11.0x</t>
        </is>
      </c>
      <c r="I4" s="101" t="inlineStr">
        <is>
          <t>12.0x</t>
        </is>
      </c>
    </row>
    <row r="5" ht="21.75" customHeight="1" s="80"/>
    <row r="6" ht="21.75" customHeight="1" s="80">
      <c r="B6" s="149" t="inlineStr">
        <is>
          <t>7.0x</t>
        </is>
      </c>
      <c r="D6" s="150" t="n">
        <v>0.262</v>
      </c>
      <c r="E6" s="151" t="n">
        <v>0.214</v>
      </c>
      <c r="F6" s="152" t="n">
        <v>0.172</v>
      </c>
      <c r="G6" s="153" t="n">
        <v>0.135</v>
      </c>
      <c r="H6" s="153" t="n">
        <v>0.101</v>
      </c>
      <c r="I6" s="153" t="n">
        <v>0.07000000000000001</v>
      </c>
    </row>
    <row r="7" ht="21.75" customHeight="1" s="80">
      <c r="B7" s="149" t="inlineStr">
        <is>
          <t>8.0x</t>
        </is>
      </c>
      <c r="D7" s="150" t="n">
        <v>0.298</v>
      </c>
      <c r="E7" s="151" t="n">
        <v>0.248</v>
      </c>
      <c r="F7" s="151" t="n">
        <v>0.204</v>
      </c>
      <c r="G7" s="152" t="n">
        <v>0.165</v>
      </c>
      <c r="H7" s="153" t="n">
        <v>0.13</v>
      </c>
      <c r="I7" s="153" t="n">
        <v>0.098</v>
      </c>
    </row>
    <row r="8" ht="21.75" customHeight="1" s="80">
      <c r="B8" s="149" t="inlineStr">
        <is>
          <t>9.0x</t>
        </is>
      </c>
      <c r="D8" s="150" t="n">
        <v>0.329</v>
      </c>
      <c r="E8" s="150" t="n">
        <v>0.278</v>
      </c>
      <c r="F8" s="151" t="n">
        <v>0.233</v>
      </c>
      <c r="G8" s="152" t="n">
        <v>0.193</v>
      </c>
      <c r="H8" s="152" t="n">
        <v>0.157</v>
      </c>
      <c r="I8" s="153" t="n">
        <v>0.124</v>
      </c>
    </row>
    <row r="9" ht="21.75" customHeight="1" s="80">
      <c r="B9" s="149" t="inlineStr">
        <is>
          <t>10.0x</t>
        </is>
      </c>
      <c r="D9" s="150" t="n">
        <v>0.357</v>
      </c>
      <c r="E9" s="150" t="n">
        <v>0.305</v>
      </c>
      <c r="F9" s="150" t="n">
        <v>0.259</v>
      </c>
      <c r="G9" s="151" t="n">
        <v>0.218</v>
      </c>
      <c r="H9" s="152" t="n">
        <v>0.181</v>
      </c>
      <c r="I9" s="153" t="n">
        <v>0.147</v>
      </c>
    </row>
    <row r="10" ht="21.75" customHeight="1" s="80">
      <c r="B10" s="149" t="inlineStr">
        <is>
          <t>11.0x</t>
        </is>
      </c>
      <c r="D10" s="150" t="n">
        <v>0.383</v>
      </c>
      <c r="E10" s="150" t="n">
        <v>0.33</v>
      </c>
      <c r="F10" s="150" t="n">
        <v>0.283</v>
      </c>
      <c r="G10" s="151" t="n">
        <v>0.241</v>
      </c>
      <c r="H10" s="151" t="n">
        <v>0.204</v>
      </c>
      <c r="I10" s="152" t="n">
        <v>0.169</v>
      </c>
    </row>
    <row r="11" ht="21.75" customHeight="1" s="80">
      <c r="B11" s="149" t="inlineStr">
        <is>
          <t>12.0x</t>
        </is>
      </c>
      <c r="D11" s="150" t="n">
        <v>0.406</v>
      </c>
      <c r="E11" s="150" t="n">
        <v>0.352</v>
      </c>
      <c r="F11" s="150" t="n">
        <v>0.305</v>
      </c>
      <c r="G11" s="150" t="n">
        <v>0.262</v>
      </c>
      <c r="H11" s="151" t="n">
        <v>0.224</v>
      </c>
      <c r="I11" s="152" t="n">
        <v>0.189</v>
      </c>
    </row>
    <row r="13" ht="15" customHeight="1" s="80">
      <c r="B13" s="94" t="inlineStr">
        <is>
          <t>Colour guide</t>
        </is>
      </c>
    </row>
    <row r="14" ht="18" customHeight="1" s="80">
      <c r="B14" s="154" t="inlineStr">
        <is>
          <t xml:space="preserve">  Dark Green</t>
        </is>
      </c>
      <c r="D14" s="155" t="inlineStr">
        <is>
          <t>IRR above 25%</t>
        </is>
      </c>
    </row>
    <row r="15" ht="18" customHeight="1" s="80">
      <c r="B15" s="140" t="inlineStr">
        <is>
          <t xml:space="preserve">  Light Green</t>
        </is>
      </c>
      <c r="D15" s="155" t="inlineStr">
        <is>
          <t>IRR between 20% and 25% — clears the hurdle</t>
        </is>
      </c>
    </row>
    <row r="16" ht="18" customHeight="1" s="80">
      <c r="B16" s="142" t="inlineStr">
        <is>
          <t xml:space="preserve">  Amber</t>
        </is>
      </c>
      <c r="D16" s="155" t="inlineStr">
        <is>
          <t>IRR between 15% and 20% — weak but not dead</t>
        </is>
      </c>
    </row>
    <row r="17" ht="18" customHeight="1" s="80">
      <c r="B17" s="146" t="inlineStr">
        <is>
          <t xml:space="preserve">  Red</t>
        </is>
      </c>
      <c r="D17" s="155" t="inlineStr">
        <is>
          <t>IRR below 15% — deal doesn't work</t>
        </is>
      </c>
    </row>
    <row r="20" ht="25.5" customHeight="1" s="80">
      <c r="B20" s="156" t="inlineStr">
        <is>
          <t>Sensitivity — IRR across different margin and growth assumptions</t>
        </is>
      </c>
    </row>
    <row r="21" ht="21.75" customHeight="1" s="80">
      <c r="B21" s="101" t="inlineStr">
        <is>
          <t>EBITDA
Margin →</t>
        </is>
      </c>
      <c r="D21" s="101" t="inlineStr">
        <is>
          <t>6%</t>
        </is>
      </c>
      <c r="E21" s="101" t="inlineStr">
        <is>
          <t>7%</t>
        </is>
      </c>
      <c r="F21" s="101" t="inlineStr">
        <is>
          <t>8%</t>
        </is>
      </c>
      <c r="G21" s="101" t="inlineStr">
        <is>
          <t>9%</t>
        </is>
      </c>
      <c r="H21" s="101" t="inlineStr">
        <is>
          <t>10%</t>
        </is>
      </c>
      <c r="I21" s="101" t="inlineStr">
        <is>
          <t>11%</t>
        </is>
      </c>
    </row>
    <row r="22" ht="15" customHeight="1" s="80"/>
    <row r="23" ht="21.75" customHeight="1" s="80">
      <c r="B23" s="149" t="inlineStr">
        <is>
          <t>19%</t>
        </is>
      </c>
      <c r="D23" s="153" t="n">
        <v>0.098</v>
      </c>
      <c r="E23" s="153" t="n">
        <v>0.112</v>
      </c>
      <c r="F23" s="153" t="n">
        <v>0.127</v>
      </c>
      <c r="G23" s="153" t="n">
        <v>0.142</v>
      </c>
      <c r="H23" s="152" t="n">
        <v>0.158</v>
      </c>
      <c r="I23" s="152" t="n">
        <v>0.174</v>
      </c>
    </row>
    <row r="24" ht="21.75" customHeight="1" s="80">
      <c r="B24" s="149" t="inlineStr">
        <is>
          <t>21%</t>
        </is>
      </c>
      <c r="D24" s="153" t="n">
        <v>0.131</v>
      </c>
      <c r="E24" s="153" t="n">
        <v>0.146</v>
      </c>
      <c r="F24" s="152" t="n">
        <v>0.161</v>
      </c>
      <c r="G24" s="152" t="n">
        <v>0.177</v>
      </c>
      <c r="H24" s="152" t="n">
        <v>0.194</v>
      </c>
      <c r="I24" s="151" t="n">
        <v>0.211</v>
      </c>
    </row>
    <row r="25" ht="21.75" customHeight="1" s="80">
      <c r="B25" s="149" t="inlineStr">
        <is>
          <t>23%</t>
        </is>
      </c>
      <c r="D25" s="152" t="n">
        <v>0.163</v>
      </c>
      <c r="E25" s="152" t="n">
        <v>0.178</v>
      </c>
      <c r="F25" s="152" t="n">
        <v>0.194</v>
      </c>
      <c r="G25" s="151" t="n">
        <v>0.211</v>
      </c>
      <c r="H25" s="151" t="n">
        <v>0.228</v>
      </c>
      <c r="I25" s="151" t="n">
        <v>0.246</v>
      </c>
    </row>
    <row r="26" ht="21.75" customHeight="1" s="80">
      <c r="B26" s="149" t="inlineStr">
        <is>
          <t>25%</t>
        </is>
      </c>
      <c r="D26" s="152" t="n">
        <v>0.193</v>
      </c>
      <c r="E26" s="151" t="n">
        <v>0.209</v>
      </c>
      <c r="F26" s="151" t="n">
        <v>0.225</v>
      </c>
      <c r="G26" s="151" t="n">
        <v>0.242</v>
      </c>
      <c r="H26" s="150" t="n">
        <v>0.26</v>
      </c>
      <c r="I26" s="150" t="n">
        <v>0.278</v>
      </c>
    </row>
    <row r="27" ht="21.75" customHeight="1" s="80">
      <c r="B27" s="149" t="inlineStr">
        <is>
          <t>27%</t>
        </is>
      </c>
      <c r="D27" s="151" t="n">
        <v>0.221</v>
      </c>
      <c r="E27" s="151" t="n">
        <v>0.238</v>
      </c>
      <c r="F27" s="150" t="n">
        <v>0.254</v>
      </c>
      <c r="G27" s="150" t="n">
        <v>0.272</v>
      </c>
      <c r="H27" s="150" t="n">
        <v>0.29</v>
      </c>
      <c r="I27" s="150" t="n">
        <v>0.309</v>
      </c>
    </row>
    <row r="28" ht="21.75" customHeight="1" s="80">
      <c r="B28" s="149" t="inlineStr">
        <is>
          <t>29%</t>
        </is>
      </c>
      <c r="D28" s="151" t="n">
        <v>0.248</v>
      </c>
      <c r="E28" s="150" t="n">
        <v>0.265</v>
      </c>
      <c r="F28" s="150" t="n">
        <v>0.282</v>
      </c>
      <c r="G28" s="150" t="n">
        <v>0.3</v>
      </c>
      <c r="H28" s="150" t="n">
        <v>0.318</v>
      </c>
      <c r="I28" s="150" t="n">
        <v>0.337</v>
      </c>
    </row>
  </sheetData>
  <mergeCells count="24">
    <mergeCell ref="B7:C7"/>
    <mergeCell ref="B25:C25"/>
    <mergeCell ref="E4:E5"/>
    <mergeCell ref="B27:C27"/>
    <mergeCell ref="B20:K20"/>
    <mergeCell ref="B11:C11"/>
    <mergeCell ref="D4:D5"/>
    <mergeCell ref="B23:C23"/>
    <mergeCell ref="B8:C8"/>
    <mergeCell ref="B4:C5"/>
    <mergeCell ref="G4:G5"/>
    <mergeCell ref="B21:C22"/>
    <mergeCell ref="I4:I5"/>
    <mergeCell ref="B10:C10"/>
    <mergeCell ref="B28:C28"/>
    <mergeCell ref="B2:K2"/>
    <mergeCell ref="B9:C9"/>
    <mergeCell ref="B6:C6"/>
    <mergeCell ref="B24:C24"/>
    <mergeCell ref="B1:K1"/>
    <mergeCell ref="F4:F5"/>
    <mergeCell ref="B13:K13"/>
    <mergeCell ref="H4:H5"/>
    <mergeCell ref="B26:C2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2026-04-22T11:45:21Z</dcterms:created>
  <dcterms:modified xmlns:dcterms="http://purl.org/dc/terms/" xmlns:xsi="http://www.w3.org/2001/XMLSchema-instance" xsi:type="dcterms:W3CDTF">2026-06-19T07:12:30Z</dcterms:modified>
  <cp:revision>0</cp:revision>
</cp:coreProperties>
</file>